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600E3599-4666-45B3-9404-63E848C3B7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2" i="8"/>
  <c r="O3" i="8"/>
  <c r="O4" i="8"/>
  <c r="O5" i="8"/>
  <c r="O6" i="8"/>
  <c r="E10" i="8"/>
  <c r="O2" i="8"/>
  <c r="O1" i="8"/>
  <c r="E7" i="8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<sst xmlns="http://schemas.openxmlformats.org/spreadsheetml/2006/main" count="2559" uniqueCount="306">
  <si>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</si>
  <si>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</si>
  <si>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</si>
  <si>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</si>
  <si>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</si>
  <si>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</si>
  <si>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</si>
  <si>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</si>
  <si>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</si>
  <si>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</si>
  <si>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</si>
  <si>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</si>
  <si>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</si>
  <si>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</si>
  <si>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</si>
  <si>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</si>
  <si>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</si>
  <si>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</si>
  <si>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</si>
  <si>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</si>
  <si>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</si>
  <si>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</si>
  <si>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</si>
  <si>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</si>
  <si>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</si>
  <si>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</si>
  <si>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</si>
  <si>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</si>
  <si>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</si>
  <si>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</si>
  <si>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</si>
  <si>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</si>
  <si>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</si>
  <si>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</si>
  <si>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</si>
  <si>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</si>
  <si>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</si>
  <si>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</si>
  <si>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</si>
  <si>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</si>
  <si>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</si>
  <si>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</si>
  <si>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</si>
  <si>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</si>
  <si>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</si>
  <si>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</si>
  <si>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</si>
  <si>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</si>
  <si>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</si>
  <si>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</si>
  <si>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</si>
  <si>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</si>
  <si>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</si>
  <si>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</si>
  <si>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</si>
  <si>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</si>
  <si>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</si>
  <si>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</si>
  <si>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</si>
  <si>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</si>
  <si>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</si>
  <si>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</si>
  <si>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</si>
  <si>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</si>
  <si>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</si>
  <si>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</si>
  <si>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</si>
  <si>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</si>
  <si>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</si>
  <si>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</si>
  <si>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</si>
  <si>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</si>
  <si>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</si>
  <si>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</si>
  <si>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</si>
  <si>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</si>
  <si>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</si>
  <si>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</si>
  <si>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</si>
  <si>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</si>
  <si>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</si>
  <si>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</si>
  <si>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</si>
  <si>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</si>
  <si>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</si>
  <si>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</si>
  <si>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</si>
  <si>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</si>
  <si>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</si>
  <si>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</si>
  <si>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</si>
  <si>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</si>
  <si>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</si>
  <si>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</si>
  <si>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</si>
  <si>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</si>
  <si>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</si>
  <si>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</si>
  <si>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</si>
  <si>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</si>
  <si>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</si>
  <si>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</si>
  <si>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</si>
  <si>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</si>
  <si>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</si>
  <si>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</si>
  <si>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</si>
  <si>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</si>
  <si>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</si>
  <si>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</si>
  <si>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</si>
  <si>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</si>
  <si>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</si>
  <si>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</si>
  <si>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</si>
  <si>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</si>
  <si>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</si>
  <si>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</si>
  <si>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</si>
  <si>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</si>
  <si>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</si>
  <si>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</si>
  <si>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</si>
  <si>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</si>
  <si>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</si>
  <si>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</si>
  <si>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</si>
  <si>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</si>
  <si>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</si>
  <si>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</si>
  <si>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</si>
  <si>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</si>
  <si>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</si>
  <si>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</si>
  <si>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</si>
  <si>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</si>
  <si>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</si>
  <si>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</si>
  <si>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</si>
  <si>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</si>
  <si>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</si>
  <si>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</si>
  <si>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</si>
  <si>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</si>
  <si>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</si>
  <si>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</si>
  <si>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</si>
  <si>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</si>
  <si>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</si>
  <si>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</si>
  <si>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</si>
  <si>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</si>
  <si>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</si>
  <si>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</si>
  <si>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</si>
  <si>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</si>
  <si>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</si>
  <si>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</si>
  <si>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</si>
  <si>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</si>
  <si>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</si>
  <si>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</si>
  <si>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</si>
  <si>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</si>
  <si>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</si>
  <si>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</si>
  <si>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</si>
  <si>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</si>
  <si>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</si>
  <si>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</si>
  <si>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</si>
  <si>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</si>
  <si>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</si>
  <si>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</si>
  <si>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</si>
  <si>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</si>
  <si>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</si>
  <si>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</si>
  <si>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</si>
  <si>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</si>
  <si>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</si>
  <si>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</si>
  <si>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</si>
  <si>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</si>
  <si>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</si>
  <si>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</si>
  <si>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</si>
  <si>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</si>
  <si>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</si>
  <si>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</si>
  <si>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</si>
  <si>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</si>
  <si>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</si>
  <si>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</si>
  <si>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</si>
  <si>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</si>
  <si>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</si>
  <si>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</si>
  <si>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</si>
  <si>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</si>
  <si>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</si>
  <si>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</si>
  <si>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</si>
  <si>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</si>
  <si>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</si>
  <si>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</si>
  <si>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</si>
  <si>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</si>
  <si>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</si>
  <si>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</si>
  <si>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</si>
  <si>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</si>
  <si>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</si>
  <si>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</si>
  <si>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</si>
  <si>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</si>
  <si>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</si>
  <si>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</si>
  <si>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</si>
  <si>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</si>
  <si>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</si>
  <si>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</si>
  <si>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</si>
  <si>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</si>
  <si>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</si>
  <si>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</si>
  <si>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</si>
  <si>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</si>
  <si>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</si>
  <si>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</si>
  <si>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</si>
  <si>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</si>
  <si>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</si>
  <si>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</si>
  <si>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</si>
  <si>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</si>
  <si>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</si>
  <si>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</si>
  <si>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</si>
  <si>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</si>
  <si>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</si>
  <si>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</si>
  <si>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</si>
  <si>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</si>
  <si>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</si>
  <si>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</si>
  <si>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</si>
  <si>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</si>
  <si>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</si>
  <si>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</si>
  <si>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</si>
  <si>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</si>
  <si>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</si>
  <si>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</si>
  <si>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</si>
  <si>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</si>
  <si>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</si>
  <si>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</si>
  <si>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</si>
  <si>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</si>
  <si>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</si>
  <si>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</si>
  <si>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</si>
  <si>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</si>
  <si>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</si>
  <si>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</si>
  <si>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</si>
  <si>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</si>
  <si>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</si>
  <si>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</si>
  <si>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</si>
  <si>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</si>
  <si>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</si>
  <si>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</si>
  <si>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</si>
  <si>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</si>
  <si>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</si>
  <si>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</si>
  <si>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</si>
  <si>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</si>
  <si>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</si>
  <si>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</si>
  <si>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</si>
  <si>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</si>
  <si>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</si>
  <si>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</si>
  <si>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</si>
  <si>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</si>
  <si>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Today()</t>
  </si>
  <si>
    <t>Now()</t>
  </si>
  <si>
    <t>Year()</t>
  </si>
  <si>
    <t>Observation</t>
  </si>
  <si>
    <t>automatically every day.</t>
  </si>
  <si>
    <t xml:space="preserve">time. </t>
  </si>
  <si>
    <r>
      <rPr>
        <b/>
        <sz val="11"/>
        <color theme="1"/>
        <rFont val="Calibri"/>
        <family val="2"/>
        <scheme val="minor"/>
      </rPr>
      <t>1. TODAY( )</t>
    </r>
    <r>
      <rPr>
        <sz val="11"/>
        <color theme="1"/>
        <rFont val="Calibri"/>
        <family val="2"/>
        <scheme val="minor"/>
      </rPr>
      <t xml:space="preserve"> function gives today's date. It updates </t>
    </r>
  </si>
  <si>
    <r>
      <rPr>
        <b/>
        <sz val="11"/>
        <color theme="1"/>
        <rFont val="Calibri"/>
        <family val="2"/>
        <scheme val="minor"/>
      </rPr>
      <t>2. NOW( )</t>
    </r>
    <r>
      <rPr>
        <sz val="11"/>
        <color theme="1"/>
        <rFont val="Calibri"/>
        <family val="2"/>
        <scheme val="minor"/>
      </rPr>
      <t xml:space="preserve"> function gives current date and current </t>
    </r>
  </si>
  <si>
    <r>
      <rPr>
        <b/>
        <sz val="11"/>
        <color theme="1"/>
        <rFont val="Calibri"/>
        <family val="2"/>
        <scheme val="minor"/>
      </rPr>
      <t>3. MONTH ( )</t>
    </r>
    <r>
      <rPr>
        <sz val="11"/>
        <color theme="1"/>
        <rFont val="Calibri"/>
        <family val="2"/>
        <scheme val="minor"/>
      </rPr>
      <t xml:space="preserve"> funcion extract month number.</t>
    </r>
  </si>
  <si>
    <r>
      <rPr>
        <b/>
        <sz val="11"/>
        <color theme="1"/>
        <rFont val="Calibri"/>
        <family val="2"/>
        <scheme val="minor"/>
      </rPr>
      <t>4. YEAR ( )</t>
    </r>
    <r>
      <rPr>
        <sz val="11"/>
        <color theme="1"/>
        <rFont val="Calibri"/>
        <family val="2"/>
        <scheme val="minor"/>
      </rPr>
      <t xml:space="preserve"> function extract the year.</t>
    </r>
  </si>
  <si>
    <r>
      <rPr>
        <b/>
        <sz val="11"/>
        <color theme="1"/>
        <rFont val="Calibri"/>
        <family val="2"/>
        <scheme val="minor"/>
      </rPr>
      <t xml:space="preserve">5. WEEKDAY( ) </t>
    </r>
    <r>
      <rPr>
        <sz val="11"/>
        <color theme="1"/>
        <rFont val="Calibri"/>
        <family val="2"/>
        <scheme val="minor"/>
      </rPr>
      <t>function gives day number of week.</t>
    </r>
  </si>
  <si>
    <r>
      <rPr>
        <b/>
        <sz val="11"/>
        <color theme="1"/>
        <rFont val="Calibri"/>
        <family val="2"/>
        <scheme val="minor"/>
      </rPr>
      <t>6.DATEDIF( )</t>
    </r>
    <r>
      <rPr>
        <sz val="11"/>
        <color theme="1"/>
        <rFont val="Calibri"/>
        <family val="2"/>
        <scheme val="minor"/>
      </rPr>
      <t xml:space="preserve"> function gives the result of difference </t>
    </r>
  </si>
  <si>
    <t>between two dates.I calculate Experience of employees.</t>
  </si>
  <si>
    <t>DatedIF()-experience</t>
  </si>
  <si>
    <t>Weekday()-Number of the day</t>
  </si>
  <si>
    <t>Month()-Number of the month</t>
  </si>
  <si>
    <t>Year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</si>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</sst>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d\-mm\-yy"/>
  </numFmts>
  <fonts count="11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2" fontId="0" fillId="0" borderId="0" xfId="0" applyNumberFormat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9" fillId="3" borderId="2" xfId="0" applyFont="1" applyFill="1" applyBorder="1"/>
    <xf numFmtId="1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1" applyFont="1"/>
    <xf numFmtId="0" fontId="10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26">
    <dxf>
      <numFmt numFmtId="1" formatCode="0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20" unboundColumnsRight="2">
    <queryTableFields count="12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  <queryTableField id="18" dataBound="0" tableColumnId="1"/>
      <queryTableField id="19" dataBound="0" tableColumnId="2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5" headerRowBorderDxfId="24" tableBorderDxfId="23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2"/>
    <tableColumn id="6" xr3:uid="{69DB2B4C-47AF-4599-8436-DE1B02912889}" name="Date of Joining" dataDxfId="21"/>
    <tableColumn id="7" xr3:uid="{A039AA54-CEBF-4005-9B74-E9C6265A57A1}" name="Performance Rating" dataDxfId="20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19" headerRowBorderDxfId="18" tableBorderDxfId="17">
  <autoFilter ref="A1:M150" xr:uid="{4814F7FD-7934-4369-B6F4-BD884C43E943}"/>
  <tableColumns count="13">
    <tableColumn id="1" xr3:uid="{D6E22364-E064-4137-987F-41B8AE582A59}" name="Employee ID" dataDxfId="16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5"/>
    <tableColumn id="10" xr3:uid="{CD19BD97-79C8-4EB7-A3C7-601FC33DE704}" name="Cleaned_Salary" dataDxfId="14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3"/>
    <tableColumn id="11" xr3:uid="{9A4B13C1-BAFF-4352-A8D4-6A2B420B58CF}" name="Cleaned D.O.J" dataDxfId="12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1"/>
    <tableColumn id="13" xr3:uid="{F4750412-D97A-4FF0-84C2-36F88C700BB4}" name="Cleaned P.R" dataDxfId="10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L150" tableType="queryTable" totalsRowShown="0" headerRowDxfId="9">
  <autoFilter ref="A1:L150" xr:uid="{5D4C687F-6456-435B-88C6-78AE04F0238B}"/>
  <sortState xmlns:xlrd2="http://schemas.microsoft.com/office/spreadsheetml/2017/richdata2" ref="A2:J150">
    <sortCondition ref="A1:A150"/>
  </sortState>
  <tableColumns count="12">
    <tableColumn id="3" xr3:uid="{38CF613F-C9DA-49D4-8186-01CD0924C5B2}" uniqueName="3" name="Employee ID" queryTableFieldId="3" dataDxfId="8"/>
    <tableColumn id="4" xr3:uid="{DC21630A-ECFE-447F-BF91-61D5F9E715FB}" uniqueName="4" name="Name" queryTableFieldId="4" dataDxfId="7"/>
    <tableColumn id="5" xr3:uid="{727F13C0-3054-493D-9DC8-4DCD65AB0487}" uniqueName="5" name="Department" queryTableFieldId="5" dataDxfId="6"/>
    <tableColumn id="6" xr3:uid="{795F0CBA-906B-4B14-8F8E-B000E624343C}" uniqueName="6" name="Country 1" queryTableFieldId="6" dataDxfId="5"/>
    <tableColumn id="15" xr3:uid="{E9834C14-E018-4B0A-A3D9-32B8AFAEC55D}" uniqueName="15" name="Country" queryTableFieldId="15" dataDxfId="4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CellStyle="Currency"/>
    <tableColumn id="10" xr3:uid="{0D6B7787-C6C0-4B8D-8BF5-271414DC552A}" uniqueName="10" name="Date of Joining" queryTableFieldId="10" dataDxfId="2"/>
    <tableColumn id="12" xr3:uid="{BA24CA71-7EAB-4A03-9E76-2E5E7B2851B4}" uniqueName="12" name="Performance Rating" queryTableFieldId="12" dataDxfId="0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3"/>
    <tableColumn id="1" xr3:uid="{CA78C4AE-4F66-439F-9ABA-3CC564B42D7A}" uniqueName="1" name="Year" queryTableFieldId="18">
      <calculatedColumnFormula>YEAR(Table13_1[[#This Row],[Date of Joining]])</calculatedColumnFormula>
    </tableColumn>
    <tableColumn id="2" xr3:uid="{6F5D82CC-C3A2-437D-857B-B04959C4F4A2}" uniqueName="2" name="Experience" queryTableFieldId="19">
      <calculatedColumnFormula>DATEDIF(Table13_1[[#This Row],[Date of Joining]],TODAY(),"y")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R150"/>
  <sheetViews>
    <sheetView tabSelected="1" topLeftCell="F1" workbookViewId="0">
      <selection activeCell="P22" sqref="P22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5" bestFit="1" customWidth="1"/>
    <col min="7" max="7" width="20.6640625" style="10" bestFit="1" customWidth="1"/>
    <col min="8" max="8" width="25.88671875" style="7" customWidth="1"/>
    <col min="9" max="9" width="15" bestFit="1" customWidth="1"/>
    <col min="10" max="10" width="20.44140625" bestFit="1" customWidth="1"/>
    <col min="11" max="11" width="11.5546875" customWidth="1"/>
    <col min="12" max="12" width="19" customWidth="1"/>
    <col min="13" max="13" width="10.109375" customWidth="1"/>
    <col min="14" max="14" width="29.6640625" customWidth="1"/>
    <col min="15" max="15" width="20.77734375" customWidth="1"/>
    <col min="16" max="16" width="7.88671875" customWidth="1"/>
    <col min="17" max="17" width="3.6640625" customWidth="1"/>
    <col min="18" max="18" width="5.33203125" customWidth="1"/>
  </cols>
  <sheetData>
    <row r="1" spans="1:18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34" t="s">
        <v>4</v>
      </c>
      <c r="G1" s="32" t="s">
        <v>5</v>
      </c>
      <c r="H1" s="33" t="s">
        <v>6</v>
      </c>
      <c r="I1" s="16" t="s">
        <v>7</v>
      </c>
      <c r="J1" s="16" t="s">
        <v>8</v>
      </c>
      <c r="K1" s="36" t="s">
        <v>304</v>
      </c>
      <c r="L1" s="36" t="s">
        <v>305</v>
      </c>
      <c r="N1" s="31" t="s">
        <v>288</v>
      </c>
      <c r="O1" s="10">
        <f ca="1">TODAY()</f>
        <v>46053</v>
      </c>
    </row>
    <row r="2" spans="1:18" ht="15.6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5">
        <v>54255</v>
      </c>
      <c r="G2" s="10">
        <v>42015</v>
      </c>
      <c r="H2" s="8">
        <v>1</v>
      </c>
      <c r="I2" t="s">
        <v>179</v>
      </c>
      <c r="J2" t="s">
        <v>183</v>
      </c>
      <c r="K2">
        <f>YEAR(Table13_1[[#This Row],[Date of Joining]])</f>
        <v>2015</v>
      </c>
      <c r="L2">
        <f ca="1">DATEDIF(Table13_1[[#This Row],[Date of Joining]],TODAY(),"y")</f>
        <v>11</v>
      </c>
      <c r="N2" s="31" t="s">
        <v>289</v>
      </c>
      <c r="O2" s="18">
        <f ca="1">NOW()</f>
        <v>46053.507023379629</v>
      </c>
    </row>
    <row r="3" spans="1:18" ht="15.6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5">
        <v>63184</v>
      </c>
      <c r="G3" s="10">
        <v>42022</v>
      </c>
      <c r="H3" s="8">
        <v>2</v>
      </c>
      <c r="I3" t="s">
        <v>181</v>
      </c>
      <c r="J3" t="s">
        <v>191</v>
      </c>
      <c r="K3">
        <f>YEAR(Table13_1[[#This Row],[Date of Joining]])</f>
        <v>2015</v>
      </c>
      <c r="L3">
        <f ca="1">DATEDIF(Table13_1[[#This Row],[Date of Joining]],TODAY(),"y")</f>
        <v>11</v>
      </c>
      <c r="N3" s="31" t="s">
        <v>290</v>
      </c>
      <c r="O3" s="8">
        <f>YEAR(G2)</f>
        <v>2015</v>
      </c>
    </row>
    <row r="4" spans="1:18" ht="15.6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5">
        <v>94406</v>
      </c>
      <c r="G4" s="10">
        <v>42029</v>
      </c>
      <c r="H4" s="8">
        <v>1</v>
      </c>
      <c r="I4" t="s">
        <v>180</v>
      </c>
      <c r="J4" t="s">
        <v>192</v>
      </c>
      <c r="K4">
        <f>YEAR(Table13_1[[#This Row],[Date of Joining]])</f>
        <v>2015</v>
      </c>
      <c r="L4">
        <f ca="1">DATEDIF(Table13_1[[#This Row],[Date of Joining]],TODAY(),"y")</f>
        <v>11</v>
      </c>
      <c r="N4" s="31" t="s">
        <v>303</v>
      </c>
      <c r="O4">
        <f>MONTH(G2)</f>
        <v>1</v>
      </c>
    </row>
    <row r="5" spans="1:18" ht="15.6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5">
        <v>64120</v>
      </c>
      <c r="G5" s="10">
        <v>42036</v>
      </c>
      <c r="H5" s="8">
        <v>1</v>
      </c>
      <c r="I5" t="s">
        <v>180</v>
      </c>
      <c r="J5" t="s">
        <v>197</v>
      </c>
      <c r="K5">
        <f>YEAR(Table13_1[[#This Row],[Date of Joining]])</f>
        <v>2015</v>
      </c>
      <c r="L5">
        <f ca="1">DATEDIF(Table13_1[[#This Row],[Date of Joining]],TODAY(),"y")</f>
        <v>10</v>
      </c>
      <c r="N5" s="31" t="s">
        <v>302</v>
      </c>
      <c r="O5">
        <f>WEEKDAY(G2,1)</f>
        <v>1</v>
      </c>
    </row>
    <row r="6" spans="1:18" ht="15.6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5">
        <v>78421</v>
      </c>
      <c r="G6" s="10">
        <v>42043</v>
      </c>
      <c r="H6" s="8">
        <v>2</v>
      </c>
      <c r="I6" t="s">
        <v>181</v>
      </c>
      <c r="J6" t="s">
        <v>200</v>
      </c>
      <c r="K6">
        <f>YEAR(Table13_1[[#This Row],[Date of Joining]])</f>
        <v>2015</v>
      </c>
      <c r="L6">
        <f ca="1">DATEDIF(Table13_1[[#This Row],[Date of Joining]],TODAY(),"y")</f>
        <v>10</v>
      </c>
      <c r="N6" s="31" t="s">
        <v>301</v>
      </c>
      <c r="O6">
        <f ca="1">DATEDIF(G2,TODAY(),"Y")</f>
        <v>11</v>
      </c>
    </row>
    <row r="7" spans="1:18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5">
        <v>67721</v>
      </c>
      <c r="G7" s="10">
        <v>42050</v>
      </c>
      <c r="H7" s="8">
        <v>2.879032258064516</v>
      </c>
      <c r="I7" t="s">
        <v>180</v>
      </c>
      <c r="J7" t="s">
        <v>206</v>
      </c>
      <c r="K7">
        <f>YEAR(Table13_1[[#This Row],[Date of Joining]])</f>
        <v>2015</v>
      </c>
      <c r="L7">
        <f ca="1">DATEDIF(Table13_1[[#This Row],[Date of Joining]],TODAY(),"y")</f>
        <v>10</v>
      </c>
    </row>
    <row r="8" spans="1:18" ht="18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5">
        <v>35364</v>
      </c>
      <c r="G8" s="10">
        <v>42057</v>
      </c>
      <c r="H8" s="8">
        <v>2</v>
      </c>
      <c r="I8" t="s">
        <v>179</v>
      </c>
      <c r="J8" t="s">
        <v>208</v>
      </c>
      <c r="K8">
        <f>YEAR(Table13_1[[#This Row],[Date of Joining]])</f>
        <v>2015</v>
      </c>
      <c r="L8">
        <f ca="1">DATEDIF(Table13_1[[#This Row],[Date of Joining]],TODAY(),"y")</f>
        <v>10</v>
      </c>
      <c r="N8" s="25" t="s">
        <v>291</v>
      </c>
      <c r="O8" s="26"/>
      <c r="P8" s="26"/>
      <c r="Q8" s="26"/>
      <c r="R8" s="27"/>
    </row>
    <row r="9" spans="1:18" ht="18" x14ac:dyDescent="0.35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5">
        <v>97881</v>
      </c>
      <c r="G9" s="10">
        <v>42064</v>
      </c>
      <c r="H9" s="8">
        <v>2.879032258064516</v>
      </c>
      <c r="I9" t="s">
        <v>181</v>
      </c>
      <c r="J9" t="s">
        <v>178</v>
      </c>
      <c r="K9">
        <f>YEAR(Table13_1[[#This Row],[Date of Joining]])</f>
        <v>2015</v>
      </c>
      <c r="L9">
        <f ca="1">DATEDIF(Table13_1[[#This Row],[Date of Joining]],TODAY(),"y")</f>
        <v>10</v>
      </c>
      <c r="N9" s="28"/>
      <c r="O9" s="29"/>
      <c r="P9" s="29"/>
      <c r="Q9" s="29"/>
      <c r="R9" s="30"/>
    </row>
    <row r="10" spans="1:18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5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K10">
        <f>YEAR(Table13_1[[#This Row],[Date of Joining]])</f>
        <v>2015</v>
      </c>
      <c r="L10">
        <f ca="1">DATEDIF(Table13_1[[#This Row],[Date of Joining]],TODAY(),"y")</f>
        <v>10</v>
      </c>
      <c r="N10" s="19" t="s">
        <v>294</v>
      </c>
      <c r="O10" s="20"/>
      <c r="P10" s="20"/>
      <c r="Q10" s="20"/>
      <c r="R10" s="21"/>
    </row>
    <row r="11" spans="1:18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5">
        <v>64247</v>
      </c>
      <c r="G11" s="10">
        <v>42078</v>
      </c>
      <c r="H11" s="8">
        <v>1</v>
      </c>
      <c r="I11" t="s">
        <v>181</v>
      </c>
      <c r="J11" t="s">
        <v>222</v>
      </c>
      <c r="K11">
        <f>YEAR(Table13_1[[#This Row],[Date of Joining]])</f>
        <v>2015</v>
      </c>
      <c r="L11">
        <f ca="1">DATEDIF(Table13_1[[#This Row],[Date of Joining]],TODAY(),"y")</f>
        <v>10</v>
      </c>
      <c r="N11" s="19" t="s">
        <v>292</v>
      </c>
      <c r="O11" s="20"/>
      <c r="P11" s="20"/>
      <c r="Q11" s="20"/>
      <c r="R11" s="21"/>
    </row>
    <row r="12" spans="1:18" ht="15.6" customHeight="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5">
        <v>91180</v>
      </c>
      <c r="G12" s="10">
        <v>42085</v>
      </c>
      <c r="H12" s="8">
        <v>5</v>
      </c>
      <c r="I12" t="s">
        <v>180</v>
      </c>
      <c r="J12" t="s">
        <v>187</v>
      </c>
      <c r="K12">
        <f>YEAR(Table13_1[[#This Row],[Date of Joining]])</f>
        <v>2015</v>
      </c>
      <c r="L12">
        <f ca="1">DATEDIF(Table13_1[[#This Row],[Date of Joining]],TODAY(),"y")</f>
        <v>10</v>
      </c>
      <c r="N12" s="19" t="s">
        <v>295</v>
      </c>
      <c r="O12" s="20"/>
      <c r="P12" s="20"/>
      <c r="Q12" s="20"/>
      <c r="R12" s="21"/>
    </row>
    <row r="13" spans="1:18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5">
        <v>96418</v>
      </c>
      <c r="G13" s="10">
        <v>42092</v>
      </c>
      <c r="H13" s="8">
        <v>5</v>
      </c>
      <c r="I13" t="s">
        <v>180</v>
      </c>
      <c r="J13" t="s">
        <v>207</v>
      </c>
      <c r="K13">
        <f>YEAR(Table13_1[[#This Row],[Date of Joining]])</f>
        <v>2015</v>
      </c>
      <c r="L13">
        <f ca="1">DATEDIF(Table13_1[[#This Row],[Date of Joining]],TODAY(),"y")</f>
        <v>10</v>
      </c>
      <c r="N13" s="19" t="s">
        <v>293</v>
      </c>
      <c r="O13" s="20"/>
      <c r="P13" s="20"/>
      <c r="Q13" s="20"/>
      <c r="R13" s="21"/>
    </row>
    <row r="14" spans="1:18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5">
        <v>62158</v>
      </c>
      <c r="G14" s="10">
        <v>42099</v>
      </c>
      <c r="H14" s="8">
        <v>4</v>
      </c>
      <c r="I14" t="s">
        <v>178</v>
      </c>
      <c r="J14" t="s">
        <v>200</v>
      </c>
      <c r="K14">
        <f>YEAR(Table13_1[[#This Row],[Date of Joining]])</f>
        <v>2015</v>
      </c>
      <c r="L14">
        <f ca="1">DATEDIF(Table13_1[[#This Row],[Date of Joining]],TODAY(),"y")</f>
        <v>10</v>
      </c>
      <c r="N14" s="19" t="s">
        <v>296</v>
      </c>
      <c r="O14" s="20"/>
      <c r="P14" s="20"/>
      <c r="Q14" s="20"/>
      <c r="R14" s="21"/>
    </row>
    <row r="15" spans="1:18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5">
        <v>59894</v>
      </c>
      <c r="G15" s="10">
        <v>42106</v>
      </c>
      <c r="H15" s="8">
        <v>2</v>
      </c>
      <c r="I15" t="s">
        <v>180</v>
      </c>
      <c r="J15" t="s">
        <v>207</v>
      </c>
      <c r="K15">
        <f>YEAR(Table13_1[[#This Row],[Date of Joining]])</f>
        <v>2015</v>
      </c>
      <c r="L15">
        <f ca="1">DATEDIF(Table13_1[[#This Row],[Date of Joining]],TODAY(),"y")</f>
        <v>10</v>
      </c>
      <c r="N15" s="19" t="s">
        <v>297</v>
      </c>
      <c r="O15" s="20"/>
      <c r="P15" s="20"/>
      <c r="Q15" s="20"/>
      <c r="R15" s="21"/>
    </row>
    <row r="16" spans="1:18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5">
        <v>92443</v>
      </c>
      <c r="G16" s="10">
        <v>42113</v>
      </c>
      <c r="H16" s="8">
        <v>3</v>
      </c>
      <c r="I16" t="s">
        <v>179</v>
      </c>
      <c r="J16" t="s">
        <v>201</v>
      </c>
      <c r="K16">
        <f>YEAR(Table13_1[[#This Row],[Date of Joining]])</f>
        <v>2015</v>
      </c>
      <c r="L16">
        <f ca="1">DATEDIF(Table13_1[[#This Row],[Date of Joining]],TODAY(),"y")</f>
        <v>10</v>
      </c>
      <c r="N16" s="19" t="s">
        <v>298</v>
      </c>
      <c r="O16" s="20"/>
      <c r="P16" s="20"/>
      <c r="Q16" s="20"/>
      <c r="R16" s="21"/>
    </row>
    <row r="17" spans="1:18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5">
        <v>90271</v>
      </c>
      <c r="G17" s="10">
        <v>42120</v>
      </c>
      <c r="H17" s="8">
        <v>2.879032258064516</v>
      </c>
      <c r="I17" t="s">
        <v>179</v>
      </c>
      <c r="J17" t="s">
        <v>235</v>
      </c>
      <c r="K17">
        <f>YEAR(Table13_1[[#This Row],[Date of Joining]])</f>
        <v>2015</v>
      </c>
      <c r="L17">
        <f ca="1">DATEDIF(Table13_1[[#This Row],[Date of Joining]],TODAY(),"y")</f>
        <v>10</v>
      </c>
      <c r="N17" s="19" t="s">
        <v>299</v>
      </c>
      <c r="O17" s="20"/>
      <c r="P17" s="20"/>
      <c r="Q17" s="20"/>
      <c r="R17" s="21"/>
    </row>
    <row r="18" spans="1:18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5">
        <v>41341</v>
      </c>
      <c r="G18" s="10">
        <v>42127</v>
      </c>
      <c r="H18" s="8">
        <v>1</v>
      </c>
      <c r="I18" t="s">
        <v>179</v>
      </c>
      <c r="J18" t="s">
        <v>239</v>
      </c>
      <c r="K18">
        <f>YEAR(Table13_1[[#This Row],[Date of Joining]])</f>
        <v>2015</v>
      </c>
      <c r="L18">
        <f ca="1">DATEDIF(Table13_1[[#This Row],[Date of Joining]],TODAY(),"y")</f>
        <v>10</v>
      </c>
      <c r="N18" s="22" t="s">
        <v>300</v>
      </c>
      <c r="O18" s="23"/>
      <c r="P18" s="23"/>
      <c r="Q18" s="23"/>
      <c r="R18" s="24"/>
    </row>
    <row r="19" spans="1:18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5">
        <v>73602</v>
      </c>
      <c r="G19" s="10">
        <v>42134</v>
      </c>
      <c r="H19" s="8">
        <v>2.879032258064516</v>
      </c>
      <c r="I19" t="s">
        <v>181</v>
      </c>
      <c r="J19" t="s">
        <v>223</v>
      </c>
      <c r="K19">
        <f>YEAR(Table13_1[[#This Row],[Date of Joining]])</f>
        <v>2015</v>
      </c>
      <c r="L19">
        <f ca="1">DATEDIF(Table13_1[[#This Row],[Date of Joining]],TODAY(),"y")</f>
        <v>10</v>
      </c>
    </row>
    <row r="20" spans="1:18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5">
        <v>67531</v>
      </c>
      <c r="G20" s="10">
        <v>42141</v>
      </c>
      <c r="H20" s="8">
        <v>5</v>
      </c>
      <c r="I20" t="s">
        <v>181</v>
      </c>
      <c r="J20" t="s">
        <v>229</v>
      </c>
      <c r="K20">
        <f>YEAR(Table13_1[[#This Row],[Date of Joining]])</f>
        <v>2015</v>
      </c>
      <c r="L20">
        <f ca="1">DATEDIF(Table13_1[[#This Row],[Date of Joining]],TODAY(),"y")</f>
        <v>10</v>
      </c>
    </row>
    <row r="21" spans="1:18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5">
        <v>67834.565199999997</v>
      </c>
      <c r="G21" s="10">
        <v>42148</v>
      </c>
      <c r="H21" s="8">
        <v>2</v>
      </c>
      <c r="I21" t="s">
        <v>179</v>
      </c>
      <c r="J21" t="s">
        <v>240</v>
      </c>
      <c r="K21">
        <f>YEAR(Table13_1[[#This Row],[Date of Joining]])</f>
        <v>2015</v>
      </c>
      <c r="L21">
        <f ca="1">DATEDIF(Table13_1[[#This Row],[Date of Joining]],TODAY(),"y")</f>
        <v>10</v>
      </c>
    </row>
    <row r="22" spans="1:18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5">
        <v>98922</v>
      </c>
      <c r="G22" s="10">
        <v>42155</v>
      </c>
      <c r="H22" s="8">
        <v>4</v>
      </c>
      <c r="I22" t="s">
        <v>180</v>
      </c>
      <c r="J22" t="s">
        <v>232</v>
      </c>
      <c r="K22">
        <f>YEAR(Table13_1[[#This Row],[Date of Joining]])</f>
        <v>2015</v>
      </c>
      <c r="L22">
        <f ca="1">DATEDIF(Table13_1[[#This Row],[Date of Joining]],TODAY(),"y")</f>
        <v>10</v>
      </c>
    </row>
    <row r="23" spans="1:18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5">
        <v>38333</v>
      </c>
      <c r="G23" s="10">
        <v>42162</v>
      </c>
      <c r="H23" s="8">
        <v>5</v>
      </c>
      <c r="I23" t="s">
        <v>179</v>
      </c>
      <c r="J23" t="s">
        <v>190</v>
      </c>
      <c r="K23">
        <f>YEAR(Table13_1[[#This Row],[Date of Joining]])</f>
        <v>2015</v>
      </c>
      <c r="L23">
        <f ca="1">DATEDIF(Table13_1[[#This Row],[Date of Joining]],TODAY(),"y")</f>
        <v>10</v>
      </c>
    </row>
    <row r="24" spans="1:18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5">
        <v>36515</v>
      </c>
      <c r="G24" s="10">
        <v>42169</v>
      </c>
      <c r="H24" s="8">
        <v>3</v>
      </c>
      <c r="I24" t="s">
        <v>180</v>
      </c>
      <c r="J24" t="s">
        <v>243</v>
      </c>
      <c r="K24">
        <f>YEAR(Table13_1[[#This Row],[Date of Joining]])</f>
        <v>2015</v>
      </c>
      <c r="L24">
        <f ca="1">DATEDIF(Table13_1[[#This Row],[Date of Joining]],TODAY(),"y")</f>
        <v>10</v>
      </c>
    </row>
    <row r="25" spans="1:18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5">
        <v>91005</v>
      </c>
      <c r="G25" s="10">
        <v>42176</v>
      </c>
      <c r="H25" s="8">
        <v>1</v>
      </c>
      <c r="I25" t="s">
        <v>179</v>
      </c>
      <c r="J25" t="s">
        <v>248</v>
      </c>
      <c r="K25">
        <f>YEAR(Table13_1[[#This Row],[Date of Joining]])</f>
        <v>2015</v>
      </c>
      <c r="L25">
        <f ca="1">DATEDIF(Table13_1[[#This Row],[Date of Joining]],TODAY(),"y")</f>
        <v>10</v>
      </c>
    </row>
    <row r="26" spans="1:18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5">
        <v>52272</v>
      </c>
      <c r="G26" s="10">
        <v>42183</v>
      </c>
      <c r="H26" s="8">
        <v>3</v>
      </c>
      <c r="I26" t="s">
        <v>179</v>
      </c>
      <c r="J26" t="s">
        <v>203</v>
      </c>
      <c r="K26">
        <f>YEAR(Table13_1[[#This Row],[Date of Joining]])</f>
        <v>2015</v>
      </c>
      <c r="L26">
        <f ca="1">DATEDIF(Table13_1[[#This Row],[Date of Joining]],TODAY(),"y")</f>
        <v>10</v>
      </c>
    </row>
    <row r="27" spans="1:18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5">
        <v>76518</v>
      </c>
      <c r="G27" s="10">
        <v>42190</v>
      </c>
      <c r="H27" s="8">
        <v>2</v>
      </c>
      <c r="I27" t="s">
        <v>181</v>
      </c>
      <c r="J27" t="s">
        <v>198</v>
      </c>
      <c r="K27">
        <f>YEAR(Table13_1[[#This Row],[Date of Joining]])</f>
        <v>2015</v>
      </c>
      <c r="L27">
        <f ca="1">DATEDIF(Table13_1[[#This Row],[Date of Joining]],TODAY(),"y")</f>
        <v>10</v>
      </c>
    </row>
    <row r="28" spans="1:18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5">
        <v>41448</v>
      </c>
      <c r="G28" s="10">
        <v>42197</v>
      </c>
      <c r="H28" s="8">
        <v>3</v>
      </c>
      <c r="I28" t="s">
        <v>179</v>
      </c>
      <c r="J28" t="s">
        <v>203</v>
      </c>
      <c r="K28">
        <f>YEAR(Table13_1[[#This Row],[Date of Joining]])</f>
        <v>2015</v>
      </c>
      <c r="L28">
        <f ca="1">DATEDIF(Table13_1[[#This Row],[Date of Joining]],TODAY(),"y")</f>
        <v>10</v>
      </c>
    </row>
    <row r="29" spans="1:18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5">
        <v>49282</v>
      </c>
      <c r="G29" s="10">
        <v>42204</v>
      </c>
      <c r="H29" s="8">
        <v>2</v>
      </c>
      <c r="I29" t="s">
        <v>181</v>
      </c>
      <c r="J29" t="s">
        <v>219</v>
      </c>
      <c r="K29">
        <f>YEAR(Table13_1[[#This Row],[Date of Joining]])</f>
        <v>2015</v>
      </c>
      <c r="L29">
        <f ca="1">DATEDIF(Table13_1[[#This Row],[Date of Joining]],TODAY(),"y")</f>
        <v>10</v>
      </c>
    </row>
    <row r="30" spans="1:18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5">
        <v>92959</v>
      </c>
      <c r="G30" s="10">
        <v>42211</v>
      </c>
      <c r="H30" s="8">
        <v>5</v>
      </c>
      <c r="I30" t="s">
        <v>180</v>
      </c>
      <c r="J30" t="s">
        <v>244</v>
      </c>
      <c r="K30">
        <f>YEAR(Table13_1[[#This Row],[Date of Joining]])</f>
        <v>2015</v>
      </c>
      <c r="L30">
        <f ca="1">DATEDIF(Table13_1[[#This Row],[Date of Joining]],TODAY(),"y")</f>
        <v>10</v>
      </c>
    </row>
    <row r="31" spans="1:18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5">
        <v>92259</v>
      </c>
      <c r="G31" s="10">
        <v>42113</v>
      </c>
      <c r="H31" s="8">
        <v>1</v>
      </c>
      <c r="I31" t="s">
        <v>178</v>
      </c>
      <c r="J31" t="s">
        <v>209</v>
      </c>
      <c r="K31">
        <f>YEAR(Table13_1[[#This Row],[Date of Joining]])</f>
        <v>2015</v>
      </c>
      <c r="L31">
        <f ca="1">DATEDIF(Table13_1[[#This Row],[Date of Joining]],TODAY(),"y")</f>
        <v>10</v>
      </c>
    </row>
    <row r="32" spans="1:18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5">
        <v>92299</v>
      </c>
      <c r="G32" s="10">
        <v>42225</v>
      </c>
      <c r="H32" s="8">
        <v>3</v>
      </c>
      <c r="I32" t="s">
        <v>180</v>
      </c>
      <c r="J32" t="s">
        <v>184</v>
      </c>
      <c r="K32">
        <f>YEAR(Table13_1[[#This Row],[Date of Joining]])</f>
        <v>2015</v>
      </c>
      <c r="L32">
        <f ca="1">DATEDIF(Table13_1[[#This Row],[Date of Joining]],TODAY(),"y")</f>
        <v>10</v>
      </c>
    </row>
    <row r="33" spans="1:12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5">
        <v>95586</v>
      </c>
      <c r="G33" s="10">
        <v>42232</v>
      </c>
      <c r="H33" s="8">
        <v>3</v>
      </c>
      <c r="I33" t="s">
        <v>179</v>
      </c>
      <c r="J33" t="s">
        <v>223</v>
      </c>
      <c r="K33">
        <f>YEAR(Table13_1[[#This Row],[Date of Joining]])</f>
        <v>2015</v>
      </c>
      <c r="L33">
        <f ca="1">DATEDIF(Table13_1[[#This Row],[Date of Joining]],TODAY(),"y")</f>
        <v>10</v>
      </c>
    </row>
    <row r="34" spans="1:12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5">
        <v>95367</v>
      </c>
      <c r="G34" s="10">
        <v>42239</v>
      </c>
      <c r="H34" s="8">
        <v>2.879032258064516</v>
      </c>
      <c r="I34" t="s">
        <v>180</v>
      </c>
      <c r="J34" t="s">
        <v>252</v>
      </c>
      <c r="K34">
        <f>YEAR(Table13_1[[#This Row],[Date of Joining]])</f>
        <v>2015</v>
      </c>
      <c r="L34">
        <f ca="1">DATEDIF(Table13_1[[#This Row],[Date of Joining]],TODAY(),"y")</f>
        <v>10</v>
      </c>
    </row>
    <row r="35" spans="1:12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5">
        <v>79549</v>
      </c>
      <c r="G35" s="10">
        <v>42246</v>
      </c>
      <c r="H35" s="8">
        <v>3</v>
      </c>
      <c r="I35" t="s">
        <v>180</v>
      </c>
      <c r="J35" t="s">
        <v>255</v>
      </c>
      <c r="K35">
        <f>YEAR(Table13_1[[#This Row],[Date of Joining]])</f>
        <v>2015</v>
      </c>
      <c r="L35">
        <f ca="1">DATEDIF(Table13_1[[#This Row],[Date of Joining]],TODAY(),"y")</f>
        <v>10</v>
      </c>
    </row>
    <row r="36" spans="1:12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5">
        <v>54463</v>
      </c>
      <c r="G36" s="10">
        <v>42253</v>
      </c>
      <c r="H36" s="8">
        <v>4</v>
      </c>
      <c r="I36" t="s">
        <v>180</v>
      </c>
      <c r="J36" t="s">
        <v>260</v>
      </c>
      <c r="K36">
        <f>YEAR(Table13_1[[#This Row],[Date of Joining]])</f>
        <v>2015</v>
      </c>
      <c r="L36">
        <f ca="1">DATEDIF(Table13_1[[#This Row],[Date of Joining]],TODAY(),"y")</f>
        <v>10</v>
      </c>
    </row>
    <row r="37" spans="1:12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5">
        <v>89781</v>
      </c>
      <c r="G37" s="10">
        <v>42260</v>
      </c>
      <c r="H37" s="8">
        <v>2.879032258064516</v>
      </c>
      <c r="I37" t="s">
        <v>181</v>
      </c>
      <c r="J37" t="s">
        <v>219</v>
      </c>
      <c r="K37">
        <f>YEAR(Table13_1[[#This Row],[Date of Joining]])</f>
        <v>2015</v>
      </c>
      <c r="L37">
        <f ca="1">DATEDIF(Table13_1[[#This Row],[Date of Joining]],TODAY(),"y")</f>
        <v>10</v>
      </c>
    </row>
    <row r="38" spans="1:12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5">
        <v>64796</v>
      </c>
      <c r="G38" s="10">
        <v>42267</v>
      </c>
      <c r="H38" s="8">
        <v>2.879032258064516</v>
      </c>
      <c r="I38" t="s">
        <v>179</v>
      </c>
      <c r="J38" t="s">
        <v>233</v>
      </c>
      <c r="K38">
        <f>YEAR(Table13_1[[#This Row],[Date of Joining]])</f>
        <v>2015</v>
      </c>
      <c r="L38">
        <f ca="1">DATEDIF(Table13_1[[#This Row],[Date of Joining]],TODAY(),"y")</f>
        <v>10</v>
      </c>
    </row>
    <row r="39" spans="1:12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5">
        <v>52093</v>
      </c>
      <c r="G39" s="10">
        <v>42274</v>
      </c>
      <c r="H39" s="8">
        <v>5</v>
      </c>
      <c r="I39" t="s">
        <v>180</v>
      </c>
      <c r="J39" t="s">
        <v>245</v>
      </c>
      <c r="K39">
        <f>YEAR(Table13_1[[#This Row],[Date of Joining]])</f>
        <v>2015</v>
      </c>
      <c r="L39">
        <f ca="1">DATEDIF(Table13_1[[#This Row],[Date of Joining]],TODAY(),"y")</f>
        <v>10</v>
      </c>
    </row>
    <row r="40" spans="1:12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5">
        <v>48224</v>
      </c>
      <c r="G40" s="10">
        <v>42281</v>
      </c>
      <c r="H40" s="8">
        <v>3</v>
      </c>
      <c r="I40" t="s">
        <v>181</v>
      </c>
      <c r="J40" t="s">
        <v>220</v>
      </c>
      <c r="K40">
        <f>YEAR(Table13_1[[#This Row],[Date of Joining]])</f>
        <v>2015</v>
      </c>
      <c r="L40">
        <f ca="1">DATEDIF(Table13_1[[#This Row],[Date of Joining]],TODAY(),"y")</f>
        <v>10</v>
      </c>
    </row>
    <row r="41" spans="1:12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5">
        <v>65604.55</v>
      </c>
      <c r="G41" s="10">
        <v>42113</v>
      </c>
      <c r="H41" s="8">
        <v>4</v>
      </c>
      <c r="I41" t="s">
        <v>181</v>
      </c>
      <c r="J41" t="s">
        <v>183</v>
      </c>
      <c r="K41">
        <f>YEAR(Table13_1[[#This Row],[Date of Joining]])</f>
        <v>2015</v>
      </c>
      <c r="L41">
        <f ca="1">DATEDIF(Table13_1[[#This Row],[Date of Joining]],TODAY(),"y")</f>
        <v>10</v>
      </c>
    </row>
    <row r="42" spans="1:12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5">
        <v>33956</v>
      </c>
      <c r="G42" s="10">
        <v>42295</v>
      </c>
      <c r="H42" s="8">
        <v>2.879032258064516</v>
      </c>
      <c r="I42" t="s">
        <v>181</v>
      </c>
      <c r="J42" t="s">
        <v>215</v>
      </c>
      <c r="K42">
        <f>YEAR(Table13_1[[#This Row],[Date of Joining]])</f>
        <v>2015</v>
      </c>
      <c r="L42">
        <f ca="1">DATEDIF(Table13_1[[#This Row],[Date of Joining]],TODAY(),"y")</f>
        <v>10</v>
      </c>
    </row>
    <row r="43" spans="1:12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5">
        <v>64913</v>
      </c>
      <c r="G43" s="10">
        <v>42302</v>
      </c>
      <c r="H43" s="8">
        <v>1</v>
      </c>
      <c r="I43" t="s">
        <v>181</v>
      </c>
      <c r="J43" t="s">
        <v>202</v>
      </c>
      <c r="K43">
        <f>YEAR(Table13_1[[#This Row],[Date of Joining]])</f>
        <v>2015</v>
      </c>
      <c r="L43">
        <f ca="1">DATEDIF(Table13_1[[#This Row],[Date of Joining]],TODAY(),"y")</f>
        <v>10</v>
      </c>
    </row>
    <row r="44" spans="1:12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5">
        <v>35326</v>
      </c>
      <c r="G44" s="10">
        <v>42309</v>
      </c>
      <c r="H44" s="8">
        <v>2.879032258064516</v>
      </c>
      <c r="I44" t="s">
        <v>181</v>
      </c>
      <c r="J44" t="s">
        <v>258</v>
      </c>
      <c r="K44">
        <f>YEAR(Table13_1[[#This Row],[Date of Joining]])</f>
        <v>2015</v>
      </c>
      <c r="L44">
        <f ca="1">DATEDIF(Table13_1[[#This Row],[Date of Joining]],TODAY(),"y")</f>
        <v>10</v>
      </c>
    </row>
    <row r="45" spans="1:12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5">
        <v>81610</v>
      </c>
      <c r="G45" s="10">
        <v>42316</v>
      </c>
      <c r="H45" s="8">
        <v>1</v>
      </c>
      <c r="I45" t="s">
        <v>179</v>
      </c>
      <c r="J45" t="s">
        <v>220</v>
      </c>
      <c r="K45">
        <f>YEAR(Table13_1[[#This Row],[Date of Joining]])</f>
        <v>2015</v>
      </c>
      <c r="L45">
        <f ca="1">DATEDIF(Table13_1[[#This Row],[Date of Joining]],TODAY(),"y")</f>
        <v>10</v>
      </c>
    </row>
    <row r="46" spans="1:12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5">
        <v>58962</v>
      </c>
      <c r="G46" s="10">
        <v>42323</v>
      </c>
      <c r="H46" s="8">
        <v>3</v>
      </c>
      <c r="I46" t="s">
        <v>179</v>
      </c>
      <c r="J46" t="s">
        <v>215</v>
      </c>
      <c r="K46">
        <f>YEAR(Table13_1[[#This Row],[Date of Joining]])</f>
        <v>2015</v>
      </c>
      <c r="L46">
        <f ca="1">DATEDIF(Table13_1[[#This Row],[Date of Joining]],TODAY(),"y")</f>
        <v>10</v>
      </c>
    </row>
    <row r="47" spans="1:12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5">
        <v>92701</v>
      </c>
      <c r="G47" s="10">
        <v>42330</v>
      </c>
      <c r="H47" s="8">
        <v>3</v>
      </c>
      <c r="I47" t="s">
        <v>179</v>
      </c>
      <c r="J47" t="s">
        <v>216</v>
      </c>
      <c r="K47">
        <f>YEAR(Table13_1[[#This Row],[Date of Joining]])</f>
        <v>2015</v>
      </c>
      <c r="L47">
        <f ca="1">DATEDIF(Table13_1[[#This Row],[Date of Joining]],TODAY(),"y")</f>
        <v>10</v>
      </c>
    </row>
    <row r="48" spans="1:12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5">
        <v>58245</v>
      </c>
      <c r="G48" s="10">
        <v>42337</v>
      </c>
      <c r="H48" s="8">
        <v>4</v>
      </c>
      <c r="I48" t="s">
        <v>181</v>
      </c>
      <c r="J48" t="s">
        <v>239</v>
      </c>
      <c r="K48">
        <f>YEAR(Table13_1[[#This Row],[Date of Joining]])</f>
        <v>2015</v>
      </c>
      <c r="L48">
        <f ca="1">DATEDIF(Table13_1[[#This Row],[Date of Joining]],TODAY(),"y")</f>
        <v>10</v>
      </c>
    </row>
    <row r="49" spans="1:12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5">
        <v>66513</v>
      </c>
      <c r="G49" s="10">
        <v>42344</v>
      </c>
      <c r="H49" s="8">
        <v>2</v>
      </c>
      <c r="I49" t="s">
        <v>179</v>
      </c>
      <c r="J49" t="s">
        <v>249</v>
      </c>
      <c r="K49">
        <f>YEAR(Table13_1[[#This Row],[Date of Joining]])</f>
        <v>2015</v>
      </c>
      <c r="L49">
        <f ca="1">DATEDIF(Table13_1[[#This Row],[Date of Joining]],TODAY(),"y")</f>
        <v>10</v>
      </c>
    </row>
    <row r="50" spans="1:12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5">
        <v>78720</v>
      </c>
      <c r="G50" s="10">
        <v>42351</v>
      </c>
      <c r="H50" s="8">
        <v>5</v>
      </c>
      <c r="I50" t="s">
        <v>181</v>
      </c>
      <c r="J50" t="s">
        <v>185</v>
      </c>
      <c r="K50">
        <f>YEAR(Table13_1[[#This Row],[Date of Joining]])</f>
        <v>2015</v>
      </c>
      <c r="L50">
        <f ca="1">DATEDIF(Table13_1[[#This Row],[Date of Joining]],TODAY(),"y")</f>
        <v>10</v>
      </c>
    </row>
    <row r="51" spans="1:12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5">
        <v>30686</v>
      </c>
      <c r="G51" s="10">
        <v>42113</v>
      </c>
      <c r="H51" s="8">
        <v>2</v>
      </c>
      <c r="I51" t="s">
        <v>181</v>
      </c>
      <c r="J51" t="s">
        <v>251</v>
      </c>
      <c r="K51">
        <f>YEAR(Table13_1[[#This Row],[Date of Joining]])</f>
        <v>2015</v>
      </c>
      <c r="L51">
        <f ca="1">DATEDIF(Table13_1[[#This Row],[Date of Joining]],TODAY(),"y")</f>
        <v>10</v>
      </c>
    </row>
    <row r="52" spans="1:12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5">
        <v>39423</v>
      </c>
      <c r="G52" s="10">
        <v>42365</v>
      </c>
      <c r="H52" s="8">
        <v>5</v>
      </c>
      <c r="I52" t="s">
        <v>181</v>
      </c>
      <c r="J52" t="s">
        <v>266</v>
      </c>
      <c r="K52">
        <f>YEAR(Table13_1[[#This Row],[Date of Joining]])</f>
        <v>2015</v>
      </c>
      <c r="L52">
        <f ca="1">DATEDIF(Table13_1[[#This Row],[Date of Joining]],TODAY(),"y")</f>
        <v>10</v>
      </c>
    </row>
    <row r="53" spans="1:12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5">
        <v>30280</v>
      </c>
      <c r="G53" s="10">
        <v>42372</v>
      </c>
      <c r="H53" s="8">
        <v>1</v>
      </c>
      <c r="I53" t="s">
        <v>178</v>
      </c>
      <c r="J53" t="s">
        <v>210</v>
      </c>
      <c r="K53">
        <f>YEAR(Table13_1[[#This Row],[Date of Joining]])</f>
        <v>2016</v>
      </c>
      <c r="L53">
        <f ca="1">DATEDIF(Table13_1[[#This Row],[Date of Joining]],TODAY(),"y")</f>
        <v>10</v>
      </c>
    </row>
    <row r="54" spans="1:12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5">
        <v>33352</v>
      </c>
      <c r="G54" s="10">
        <v>42379</v>
      </c>
      <c r="H54" s="8">
        <v>3</v>
      </c>
      <c r="I54" t="s">
        <v>181</v>
      </c>
      <c r="J54" t="s">
        <v>224</v>
      </c>
      <c r="K54">
        <f>YEAR(Table13_1[[#This Row],[Date of Joining]])</f>
        <v>2016</v>
      </c>
      <c r="L54">
        <f ca="1">DATEDIF(Table13_1[[#This Row],[Date of Joining]],TODAY(),"y")</f>
        <v>10</v>
      </c>
    </row>
    <row r="55" spans="1:12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5">
        <v>75633</v>
      </c>
      <c r="G55" s="10">
        <v>42386</v>
      </c>
      <c r="H55" s="8">
        <v>5</v>
      </c>
      <c r="I55" t="s">
        <v>179</v>
      </c>
      <c r="J55" t="s">
        <v>208</v>
      </c>
      <c r="K55">
        <f>YEAR(Table13_1[[#This Row],[Date of Joining]])</f>
        <v>2016</v>
      </c>
      <c r="L55">
        <f ca="1">DATEDIF(Table13_1[[#This Row],[Date of Joining]],TODAY(),"y")</f>
        <v>10</v>
      </c>
    </row>
    <row r="56" spans="1:12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5">
        <v>74815</v>
      </c>
      <c r="G56" s="10">
        <v>42393</v>
      </c>
      <c r="H56" s="8">
        <v>5</v>
      </c>
      <c r="I56" t="s">
        <v>181</v>
      </c>
      <c r="J56" t="s">
        <v>253</v>
      </c>
      <c r="K56">
        <f>YEAR(Table13_1[[#This Row],[Date of Joining]])</f>
        <v>2016</v>
      </c>
      <c r="L56">
        <f ca="1">DATEDIF(Table13_1[[#This Row],[Date of Joining]],TODAY(),"y")</f>
        <v>10</v>
      </c>
    </row>
    <row r="57" spans="1:12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5">
        <v>60011</v>
      </c>
      <c r="G57" s="10">
        <v>42400</v>
      </c>
      <c r="H57" s="8">
        <v>1</v>
      </c>
      <c r="I57" t="s">
        <v>180</v>
      </c>
      <c r="J57" t="s">
        <v>256</v>
      </c>
      <c r="K57">
        <f>YEAR(Table13_1[[#This Row],[Date of Joining]])</f>
        <v>2016</v>
      </c>
      <c r="L57">
        <f ca="1">DATEDIF(Table13_1[[#This Row],[Date of Joining]],TODAY(),"y")</f>
        <v>10</v>
      </c>
    </row>
    <row r="58" spans="1:12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5">
        <v>96949</v>
      </c>
      <c r="G58" s="10">
        <v>42407</v>
      </c>
      <c r="H58" s="8">
        <v>3</v>
      </c>
      <c r="I58" t="s">
        <v>181</v>
      </c>
      <c r="J58" t="s">
        <v>230</v>
      </c>
      <c r="K58">
        <f>YEAR(Table13_1[[#This Row],[Date of Joining]])</f>
        <v>2016</v>
      </c>
      <c r="L58">
        <f ca="1">DATEDIF(Table13_1[[#This Row],[Date of Joining]],TODAY(),"y")</f>
        <v>9</v>
      </c>
    </row>
    <row r="59" spans="1:12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5">
        <v>84924</v>
      </c>
      <c r="G59" s="10">
        <v>42414</v>
      </c>
      <c r="H59" s="8">
        <v>5</v>
      </c>
      <c r="I59" t="s">
        <v>180</v>
      </c>
      <c r="J59" t="s">
        <v>211</v>
      </c>
      <c r="K59">
        <f>YEAR(Table13_1[[#This Row],[Date of Joining]])</f>
        <v>2016</v>
      </c>
      <c r="L59">
        <f ca="1">DATEDIF(Table13_1[[#This Row],[Date of Joining]],TODAY(),"y")</f>
        <v>9</v>
      </c>
    </row>
    <row r="60" spans="1:12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5">
        <v>82033</v>
      </c>
      <c r="G60" s="10">
        <v>42421</v>
      </c>
      <c r="H60" s="8">
        <v>1</v>
      </c>
      <c r="I60" t="s">
        <v>180</v>
      </c>
      <c r="J60" t="s">
        <v>271</v>
      </c>
      <c r="K60">
        <f>YEAR(Table13_1[[#This Row],[Date of Joining]])</f>
        <v>2016</v>
      </c>
      <c r="L60">
        <f ca="1">DATEDIF(Table13_1[[#This Row],[Date of Joining]],TODAY(),"y")</f>
        <v>9</v>
      </c>
    </row>
    <row r="61" spans="1:12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5">
        <v>63686.692300000002</v>
      </c>
      <c r="G61" s="10">
        <v>42113</v>
      </c>
      <c r="H61" s="8">
        <v>5</v>
      </c>
      <c r="I61" t="s">
        <v>178</v>
      </c>
      <c r="J61" t="s">
        <v>209</v>
      </c>
      <c r="K61">
        <f>YEAR(Table13_1[[#This Row],[Date of Joining]])</f>
        <v>2015</v>
      </c>
      <c r="L61">
        <f ca="1">DATEDIF(Table13_1[[#This Row],[Date of Joining]],TODAY(),"y")</f>
        <v>10</v>
      </c>
    </row>
    <row r="62" spans="1:12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5">
        <v>31499</v>
      </c>
      <c r="G62" s="10">
        <v>42435</v>
      </c>
      <c r="H62" s="8">
        <v>2</v>
      </c>
      <c r="I62" t="s">
        <v>181</v>
      </c>
      <c r="J62" t="s">
        <v>262</v>
      </c>
      <c r="K62">
        <f>YEAR(Table13_1[[#This Row],[Date of Joining]])</f>
        <v>2016</v>
      </c>
      <c r="L62">
        <f ca="1">DATEDIF(Table13_1[[#This Row],[Date of Joining]],TODAY(),"y")</f>
        <v>9</v>
      </c>
    </row>
    <row r="63" spans="1:12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5">
        <v>97981</v>
      </c>
      <c r="G63" s="10">
        <v>42442</v>
      </c>
      <c r="H63" s="8">
        <v>5</v>
      </c>
      <c r="I63" t="s">
        <v>181</v>
      </c>
      <c r="J63" t="s">
        <v>240</v>
      </c>
      <c r="K63">
        <f>YEAR(Table13_1[[#This Row],[Date of Joining]])</f>
        <v>2016</v>
      </c>
      <c r="L63">
        <f ca="1">DATEDIF(Table13_1[[#This Row],[Date of Joining]],TODAY(),"y")</f>
        <v>9</v>
      </c>
    </row>
    <row r="64" spans="1:12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5">
        <v>36541</v>
      </c>
      <c r="G64" s="10">
        <v>42449</v>
      </c>
      <c r="H64" s="8">
        <v>2</v>
      </c>
      <c r="I64" t="s">
        <v>179</v>
      </c>
      <c r="J64" t="s">
        <v>178</v>
      </c>
      <c r="K64">
        <f>YEAR(Table13_1[[#This Row],[Date of Joining]])</f>
        <v>2016</v>
      </c>
      <c r="L64">
        <f ca="1">DATEDIF(Table13_1[[#This Row],[Date of Joining]],TODAY(),"y")</f>
        <v>9</v>
      </c>
    </row>
    <row r="65" spans="1:12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5">
        <v>84737</v>
      </c>
      <c r="G65" s="10">
        <v>42456</v>
      </c>
      <c r="H65" s="8">
        <v>1</v>
      </c>
      <c r="I65" t="s">
        <v>180</v>
      </c>
      <c r="J65" t="s">
        <v>202</v>
      </c>
      <c r="K65">
        <f>YEAR(Table13_1[[#This Row],[Date of Joining]])</f>
        <v>2016</v>
      </c>
      <c r="L65">
        <f ca="1">DATEDIF(Table13_1[[#This Row],[Date of Joining]],TODAY(),"y")</f>
        <v>9</v>
      </c>
    </row>
    <row r="66" spans="1:12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5">
        <v>33468</v>
      </c>
      <c r="G66" s="10">
        <v>42463</v>
      </c>
      <c r="H66" s="8">
        <v>4</v>
      </c>
      <c r="I66" t="s">
        <v>180</v>
      </c>
      <c r="J66" t="s">
        <v>234</v>
      </c>
      <c r="K66">
        <f>YEAR(Table13_1[[#This Row],[Date of Joining]])</f>
        <v>2016</v>
      </c>
      <c r="L66">
        <f ca="1">DATEDIF(Table13_1[[#This Row],[Date of Joining]],TODAY(),"y")</f>
        <v>9</v>
      </c>
    </row>
    <row r="67" spans="1:12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5">
        <v>96365</v>
      </c>
      <c r="G67" s="10">
        <v>42470</v>
      </c>
      <c r="H67" s="8">
        <v>3</v>
      </c>
      <c r="I67" t="s">
        <v>179</v>
      </c>
      <c r="J67" t="s">
        <v>263</v>
      </c>
      <c r="K67">
        <f>YEAR(Table13_1[[#This Row],[Date of Joining]])</f>
        <v>2016</v>
      </c>
      <c r="L67">
        <f ca="1">DATEDIF(Table13_1[[#This Row],[Date of Joining]],TODAY(),"y")</f>
        <v>9</v>
      </c>
    </row>
    <row r="68" spans="1:12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5">
        <v>61942</v>
      </c>
      <c r="G68" s="10">
        <v>42477</v>
      </c>
      <c r="H68" s="8">
        <v>3</v>
      </c>
      <c r="I68" t="s">
        <v>181</v>
      </c>
      <c r="J68" t="s">
        <v>267</v>
      </c>
      <c r="K68">
        <f>YEAR(Table13_1[[#This Row],[Date of Joining]])</f>
        <v>2016</v>
      </c>
      <c r="L68">
        <f ca="1">DATEDIF(Table13_1[[#This Row],[Date of Joining]],TODAY(),"y")</f>
        <v>9</v>
      </c>
    </row>
    <row r="69" spans="1:12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5">
        <v>41467</v>
      </c>
      <c r="G69" s="10">
        <v>42484</v>
      </c>
      <c r="H69" s="8">
        <v>2</v>
      </c>
      <c r="I69" t="s">
        <v>181</v>
      </c>
      <c r="J69" t="s">
        <v>225</v>
      </c>
      <c r="K69">
        <f>YEAR(Table13_1[[#This Row],[Date of Joining]])</f>
        <v>2016</v>
      </c>
      <c r="L69">
        <f ca="1">DATEDIF(Table13_1[[#This Row],[Date of Joining]],TODAY(),"y")</f>
        <v>9</v>
      </c>
    </row>
    <row r="70" spans="1:12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5">
        <v>77096</v>
      </c>
      <c r="G70" s="10">
        <v>42491</v>
      </c>
      <c r="H70" s="8">
        <v>1</v>
      </c>
      <c r="I70" t="s">
        <v>180</v>
      </c>
      <c r="J70" t="s">
        <v>211</v>
      </c>
      <c r="K70">
        <f>YEAR(Table13_1[[#This Row],[Date of Joining]])</f>
        <v>2016</v>
      </c>
      <c r="L70">
        <f ca="1">DATEDIF(Table13_1[[#This Row],[Date of Joining]],TODAY(),"y")</f>
        <v>9</v>
      </c>
    </row>
    <row r="71" spans="1:12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5">
        <v>69952</v>
      </c>
      <c r="G71" s="10">
        <v>42498</v>
      </c>
      <c r="H71" s="8">
        <v>5</v>
      </c>
      <c r="I71" t="s">
        <v>181</v>
      </c>
      <c r="J71" t="s">
        <v>257</v>
      </c>
      <c r="K71">
        <f>YEAR(Table13_1[[#This Row],[Date of Joining]])</f>
        <v>2016</v>
      </c>
      <c r="L71">
        <f ca="1">DATEDIF(Table13_1[[#This Row],[Date of Joining]],TODAY(),"y")</f>
        <v>9</v>
      </c>
    </row>
    <row r="72" spans="1:12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5">
        <v>85065</v>
      </c>
      <c r="G72" s="10">
        <v>42505</v>
      </c>
      <c r="H72" s="8">
        <v>3</v>
      </c>
      <c r="I72" t="s">
        <v>179</v>
      </c>
      <c r="J72" t="s">
        <v>221</v>
      </c>
      <c r="K72">
        <f>YEAR(Table13_1[[#This Row],[Date of Joining]])</f>
        <v>2016</v>
      </c>
      <c r="L72">
        <f ca="1">DATEDIF(Table13_1[[#This Row],[Date of Joining]],TODAY(),"y")</f>
        <v>9</v>
      </c>
    </row>
    <row r="73" spans="1:12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5">
        <v>56512</v>
      </c>
      <c r="G73" s="10">
        <v>42512</v>
      </c>
      <c r="H73" s="8">
        <v>2.879032258064516</v>
      </c>
      <c r="I73" t="s">
        <v>179</v>
      </c>
      <c r="J73" t="s">
        <v>264</v>
      </c>
      <c r="K73">
        <f>YEAR(Table13_1[[#This Row],[Date of Joining]])</f>
        <v>2016</v>
      </c>
      <c r="L73">
        <f ca="1">DATEDIF(Table13_1[[#This Row],[Date of Joining]],TODAY(),"y")</f>
        <v>9</v>
      </c>
    </row>
    <row r="74" spans="1:12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5">
        <v>91101</v>
      </c>
      <c r="G74" s="10">
        <v>42519</v>
      </c>
      <c r="H74" s="8">
        <v>4</v>
      </c>
      <c r="I74" t="s">
        <v>181</v>
      </c>
      <c r="J74" t="s">
        <v>200</v>
      </c>
      <c r="K74">
        <f>YEAR(Table13_1[[#This Row],[Date of Joining]])</f>
        <v>2016</v>
      </c>
      <c r="L74">
        <f ca="1">DATEDIF(Table13_1[[#This Row],[Date of Joining]],TODAY(),"y")</f>
        <v>9</v>
      </c>
    </row>
    <row r="75" spans="1:12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5">
        <v>41243</v>
      </c>
      <c r="G75" s="10">
        <v>42526</v>
      </c>
      <c r="H75" s="8">
        <v>2.879032258064516</v>
      </c>
      <c r="I75" t="s">
        <v>179</v>
      </c>
      <c r="J75" t="s">
        <v>236</v>
      </c>
      <c r="K75">
        <f>YEAR(Table13_1[[#This Row],[Date of Joining]])</f>
        <v>2016</v>
      </c>
      <c r="L75">
        <f ca="1">DATEDIF(Table13_1[[#This Row],[Date of Joining]],TODAY(),"y")</f>
        <v>9</v>
      </c>
    </row>
    <row r="76" spans="1:12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5">
        <v>96142</v>
      </c>
      <c r="G76" s="10">
        <v>42533</v>
      </c>
      <c r="H76" s="8">
        <v>1</v>
      </c>
      <c r="I76" t="s">
        <v>179</v>
      </c>
      <c r="J76" t="s">
        <v>195</v>
      </c>
      <c r="K76">
        <f>YEAR(Table13_1[[#This Row],[Date of Joining]])</f>
        <v>2016</v>
      </c>
      <c r="L76">
        <f ca="1">DATEDIF(Table13_1[[#This Row],[Date of Joining]],TODAY(),"y")</f>
        <v>9</v>
      </c>
    </row>
    <row r="77" spans="1:12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5">
        <v>94301</v>
      </c>
      <c r="G77" s="10">
        <v>42540</v>
      </c>
      <c r="H77" s="8">
        <v>1</v>
      </c>
      <c r="I77" t="s">
        <v>180</v>
      </c>
      <c r="J77" t="s">
        <v>203</v>
      </c>
      <c r="K77">
        <f>YEAR(Table13_1[[#This Row],[Date of Joining]])</f>
        <v>2016</v>
      </c>
      <c r="L77">
        <f ca="1">DATEDIF(Table13_1[[#This Row],[Date of Joining]],TODAY(),"y")</f>
        <v>9</v>
      </c>
    </row>
    <row r="78" spans="1:12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5">
        <v>69166</v>
      </c>
      <c r="G78" s="10">
        <v>42547</v>
      </c>
      <c r="H78" s="8">
        <v>1</v>
      </c>
      <c r="I78" t="s">
        <v>181</v>
      </c>
      <c r="J78" t="s">
        <v>223</v>
      </c>
      <c r="K78">
        <f>YEAR(Table13_1[[#This Row],[Date of Joining]])</f>
        <v>2016</v>
      </c>
      <c r="L78">
        <f ca="1">DATEDIF(Table13_1[[#This Row],[Date of Joining]],TODAY(),"y")</f>
        <v>9</v>
      </c>
    </row>
    <row r="79" spans="1:12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5">
        <v>78245</v>
      </c>
      <c r="G79" s="10">
        <v>42554</v>
      </c>
      <c r="H79" s="8">
        <v>2</v>
      </c>
      <c r="I79" t="s">
        <v>181</v>
      </c>
      <c r="J79" t="s">
        <v>259</v>
      </c>
      <c r="K79">
        <f>YEAR(Table13_1[[#This Row],[Date of Joining]])</f>
        <v>2016</v>
      </c>
      <c r="L79">
        <f ca="1">DATEDIF(Table13_1[[#This Row],[Date of Joining]],TODAY(),"y")</f>
        <v>9</v>
      </c>
    </row>
    <row r="80" spans="1:12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5">
        <v>66079</v>
      </c>
      <c r="G80" s="10">
        <v>42561</v>
      </c>
      <c r="H80" s="8">
        <v>2</v>
      </c>
      <c r="I80" t="s">
        <v>179</v>
      </c>
      <c r="J80" t="s">
        <v>183</v>
      </c>
      <c r="K80">
        <f>YEAR(Table13_1[[#This Row],[Date of Joining]])</f>
        <v>2016</v>
      </c>
      <c r="L80">
        <f ca="1">DATEDIF(Table13_1[[#This Row],[Date of Joining]],TODAY(),"y")</f>
        <v>9</v>
      </c>
    </row>
    <row r="81" spans="1:12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5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  <c r="K81">
        <f>YEAR(Table13_1[[#This Row],[Date of Joining]])</f>
        <v>2015</v>
      </c>
      <c r="L81">
        <f ca="1">DATEDIF(Table13_1[[#This Row],[Date of Joining]],TODAY(),"y")</f>
        <v>10</v>
      </c>
    </row>
    <row r="82" spans="1:12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5">
        <v>95621</v>
      </c>
      <c r="G82" s="10">
        <v>42575</v>
      </c>
      <c r="H82" s="8">
        <v>3</v>
      </c>
      <c r="I82" t="s">
        <v>181</v>
      </c>
      <c r="J82" t="s">
        <v>193</v>
      </c>
      <c r="K82">
        <f>YEAR(Table13_1[[#This Row],[Date of Joining]])</f>
        <v>2016</v>
      </c>
      <c r="L82">
        <f ca="1">DATEDIF(Table13_1[[#This Row],[Date of Joining]],TODAY(),"y")</f>
        <v>9</v>
      </c>
    </row>
    <row r="83" spans="1:12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5">
        <v>42262</v>
      </c>
      <c r="G83" s="10">
        <v>42582</v>
      </c>
      <c r="H83" s="8">
        <v>1</v>
      </c>
      <c r="I83" t="s">
        <v>181</v>
      </c>
      <c r="J83" t="s">
        <v>225</v>
      </c>
      <c r="K83">
        <f>YEAR(Table13_1[[#This Row],[Date of Joining]])</f>
        <v>2016</v>
      </c>
      <c r="L83">
        <f ca="1">DATEDIF(Table13_1[[#This Row],[Date of Joining]],TODAY(),"y")</f>
        <v>9</v>
      </c>
    </row>
    <row r="84" spans="1:12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5">
        <v>99621</v>
      </c>
      <c r="G84" s="10">
        <v>42589</v>
      </c>
      <c r="H84" s="8">
        <v>2.879032258064516</v>
      </c>
      <c r="I84" t="s">
        <v>179</v>
      </c>
      <c r="J84" t="s">
        <v>268</v>
      </c>
      <c r="K84">
        <f>YEAR(Table13_1[[#This Row],[Date of Joining]])</f>
        <v>2016</v>
      </c>
      <c r="L84">
        <f ca="1">DATEDIF(Table13_1[[#This Row],[Date of Joining]],TODAY(),"y")</f>
        <v>9</v>
      </c>
    </row>
    <row r="85" spans="1:12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5">
        <v>44682</v>
      </c>
      <c r="G85" s="10">
        <v>42596</v>
      </c>
      <c r="H85" s="8">
        <v>4</v>
      </c>
      <c r="I85" t="s">
        <v>181</v>
      </c>
      <c r="J85" t="s">
        <v>214</v>
      </c>
      <c r="K85">
        <f>YEAR(Table13_1[[#This Row],[Date of Joining]])</f>
        <v>2016</v>
      </c>
      <c r="L85">
        <f ca="1">DATEDIF(Table13_1[[#This Row],[Date of Joining]],TODAY(),"y")</f>
        <v>9</v>
      </c>
    </row>
    <row r="86" spans="1:12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5">
        <v>35163</v>
      </c>
      <c r="G86" s="10">
        <v>42603</v>
      </c>
      <c r="H86" s="8">
        <v>5</v>
      </c>
      <c r="I86" t="s">
        <v>179</v>
      </c>
      <c r="J86" t="s">
        <v>250</v>
      </c>
      <c r="K86">
        <f>YEAR(Table13_1[[#This Row],[Date of Joining]])</f>
        <v>2016</v>
      </c>
      <c r="L86">
        <f ca="1">DATEDIF(Table13_1[[#This Row],[Date of Joining]],TODAY(),"y")</f>
        <v>9</v>
      </c>
    </row>
    <row r="87" spans="1:12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5">
        <v>33483</v>
      </c>
      <c r="G87" s="10">
        <v>42610</v>
      </c>
      <c r="H87" s="8">
        <v>4</v>
      </c>
      <c r="I87" t="s">
        <v>180</v>
      </c>
      <c r="J87" t="s">
        <v>204</v>
      </c>
      <c r="K87">
        <f>YEAR(Table13_1[[#This Row],[Date of Joining]])</f>
        <v>2016</v>
      </c>
      <c r="L87">
        <f ca="1">DATEDIF(Table13_1[[#This Row],[Date of Joining]],TODAY(),"y")</f>
        <v>9</v>
      </c>
    </row>
    <row r="88" spans="1:12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5">
        <v>55303</v>
      </c>
      <c r="G88" s="10">
        <v>42617</v>
      </c>
      <c r="H88" s="8">
        <v>4</v>
      </c>
      <c r="I88" t="s">
        <v>180</v>
      </c>
      <c r="J88" t="s">
        <v>186</v>
      </c>
      <c r="K88">
        <f>YEAR(Table13_1[[#This Row],[Date of Joining]])</f>
        <v>2016</v>
      </c>
      <c r="L88">
        <f ca="1">DATEDIF(Table13_1[[#This Row],[Date of Joining]],TODAY(),"y")</f>
        <v>9</v>
      </c>
    </row>
    <row r="89" spans="1:12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5">
        <v>63434</v>
      </c>
      <c r="G89" s="10">
        <v>42624</v>
      </c>
      <c r="H89" s="8">
        <v>3</v>
      </c>
      <c r="I89" t="s">
        <v>179</v>
      </c>
      <c r="J89" t="s">
        <v>243</v>
      </c>
      <c r="K89">
        <f>YEAR(Table13_1[[#This Row],[Date of Joining]])</f>
        <v>2016</v>
      </c>
      <c r="L89">
        <f ca="1">DATEDIF(Table13_1[[#This Row],[Date of Joining]],TODAY(),"y")</f>
        <v>9</v>
      </c>
    </row>
    <row r="90" spans="1:12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5">
        <v>38830</v>
      </c>
      <c r="G90" s="10">
        <v>42631</v>
      </c>
      <c r="H90" s="8">
        <v>3</v>
      </c>
      <c r="I90" t="s">
        <v>179</v>
      </c>
      <c r="J90" t="s">
        <v>264</v>
      </c>
      <c r="K90">
        <f>YEAR(Table13_1[[#This Row],[Date of Joining]])</f>
        <v>2016</v>
      </c>
      <c r="L90">
        <f ca="1">DATEDIF(Table13_1[[#This Row],[Date of Joining]],TODAY(),"y")</f>
        <v>9</v>
      </c>
    </row>
    <row r="91" spans="1:12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5">
        <v>50741</v>
      </c>
      <c r="G91" s="10">
        <v>42638</v>
      </c>
      <c r="H91" s="8">
        <v>3</v>
      </c>
      <c r="I91" t="s">
        <v>178</v>
      </c>
      <c r="J91" t="s">
        <v>246</v>
      </c>
      <c r="K91">
        <f>YEAR(Table13_1[[#This Row],[Date of Joining]])</f>
        <v>2016</v>
      </c>
      <c r="L91">
        <f ca="1">DATEDIF(Table13_1[[#This Row],[Date of Joining]],TODAY(),"y")</f>
        <v>9</v>
      </c>
    </row>
    <row r="92" spans="1:12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5">
        <v>69420</v>
      </c>
      <c r="G92" s="10">
        <v>42645</v>
      </c>
      <c r="H92" s="8">
        <v>1</v>
      </c>
      <c r="I92" t="s">
        <v>180</v>
      </c>
      <c r="J92" t="s">
        <v>278</v>
      </c>
      <c r="K92">
        <f>YEAR(Table13_1[[#This Row],[Date of Joining]])</f>
        <v>2016</v>
      </c>
      <c r="L92">
        <f ca="1">DATEDIF(Table13_1[[#This Row],[Date of Joining]],TODAY(),"y")</f>
        <v>9</v>
      </c>
    </row>
    <row r="93" spans="1:12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5">
        <v>80588</v>
      </c>
      <c r="G93" s="10">
        <v>42652</v>
      </c>
      <c r="H93" s="8">
        <v>5</v>
      </c>
      <c r="I93" t="s">
        <v>180</v>
      </c>
      <c r="J93" t="s">
        <v>178</v>
      </c>
      <c r="K93">
        <f>YEAR(Table13_1[[#This Row],[Date of Joining]])</f>
        <v>2016</v>
      </c>
      <c r="L93">
        <f ca="1">DATEDIF(Table13_1[[#This Row],[Date of Joining]],TODAY(),"y")</f>
        <v>9</v>
      </c>
    </row>
    <row r="94" spans="1:12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5">
        <v>76238</v>
      </c>
      <c r="G94" s="10">
        <v>42659</v>
      </c>
      <c r="H94" s="8">
        <v>4</v>
      </c>
      <c r="I94" t="s">
        <v>180</v>
      </c>
      <c r="J94" t="s">
        <v>254</v>
      </c>
      <c r="K94">
        <f>YEAR(Table13_1[[#This Row],[Date of Joining]])</f>
        <v>2016</v>
      </c>
      <c r="L94">
        <f ca="1">DATEDIF(Table13_1[[#This Row],[Date of Joining]],TODAY(),"y")</f>
        <v>9</v>
      </c>
    </row>
    <row r="95" spans="1:12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5">
        <v>33264</v>
      </c>
      <c r="G95" s="10">
        <v>42666</v>
      </c>
      <c r="H95" s="8">
        <v>2.879032258064516</v>
      </c>
      <c r="I95" t="s">
        <v>181</v>
      </c>
      <c r="J95" t="s">
        <v>205</v>
      </c>
      <c r="K95">
        <f>YEAR(Table13_1[[#This Row],[Date of Joining]])</f>
        <v>2016</v>
      </c>
      <c r="L95">
        <f ca="1">DATEDIF(Table13_1[[#This Row],[Date of Joining]],TODAY(),"y")</f>
        <v>9</v>
      </c>
    </row>
    <row r="96" spans="1:12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5">
        <v>96101</v>
      </c>
      <c r="G96" s="10">
        <v>42673</v>
      </c>
      <c r="H96" s="8">
        <v>2.879032258064516</v>
      </c>
      <c r="I96" t="s">
        <v>179</v>
      </c>
      <c r="J96" t="s">
        <v>201</v>
      </c>
      <c r="K96">
        <f>YEAR(Table13_1[[#This Row],[Date of Joining]])</f>
        <v>2016</v>
      </c>
      <c r="L96">
        <f ca="1">DATEDIF(Table13_1[[#This Row],[Date of Joining]],TODAY(),"y")</f>
        <v>9</v>
      </c>
    </row>
    <row r="97" spans="1:12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5">
        <v>72939</v>
      </c>
      <c r="G97" s="10">
        <v>42680</v>
      </c>
      <c r="H97" s="8">
        <v>3</v>
      </c>
      <c r="I97" t="s">
        <v>180</v>
      </c>
      <c r="J97" t="s">
        <v>272</v>
      </c>
      <c r="K97">
        <f>YEAR(Table13_1[[#This Row],[Date of Joining]])</f>
        <v>2016</v>
      </c>
      <c r="L97">
        <f ca="1">DATEDIF(Table13_1[[#This Row],[Date of Joining]],TODAY(),"y")</f>
        <v>9</v>
      </c>
    </row>
    <row r="98" spans="1:12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5">
        <v>89333</v>
      </c>
      <c r="G98" s="10">
        <v>42687</v>
      </c>
      <c r="H98" s="8">
        <v>1</v>
      </c>
      <c r="I98" t="s">
        <v>180</v>
      </c>
      <c r="J98" t="s">
        <v>187</v>
      </c>
      <c r="K98">
        <f>YEAR(Table13_1[[#This Row],[Date of Joining]])</f>
        <v>2016</v>
      </c>
      <c r="L98">
        <f ca="1">DATEDIF(Table13_1[[#This Row],[Date of Joining]],TODAY(),"y")</f>
        <v>9</v>
      </c>
    </row>
    <row r="99" spans="1:12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5">
        <v>70470</v>
      </c>
      <c r="G99" s="10">
        <v>42694</v>
      </c>
      <c r="H99" s="8">
        <v>2.879032258064516</v>
      </c>
      <c r="I99" t="s">
        <v>180</v>
      </c>
      <c r="J99" t="s">
        <v>275</v>
      </c>
      <c r="K99">
        <f>YEAR(Table13_1[[#This Row],[Date of Joining]])</f>
        <v>2016</v>
      </c>
      <c r="L99">
        <f ca="1">DATEDIF(Table13_1[[#This Row],[Date of Joining]],TODAY(),"y")</f>
        <v>9</v>
      </c>
    </row>
    <row r="100" spans="1:12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5">
        <v>70096</v>
      </c>
      <c r="G100" s="10">
        <v>42701</v>
      </c>
      <c r="H100" s="8">
        <v>4</v>
      </c>
      <c r="I100" t="s">
        <v>180</v>
      </c>
      <c r="J100" t="s">
        <v>189</v>
      </c>
      <c r="K100">
        <f>YEAR(Table13_1[[#This Row],[Date of Joining]])</f>
        <v>2016</v>
      </c>
      <c r="L100">
        <f ca="1">DATEDIF(Table13_1[[#This Row],[Date of Joining]],TODAY(),"y")</f>
        <v>9</v>
      </c>
    </row>
    <row r="101" spans="1:12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5">
        <v>63686.692300000002</v>
      </c>
      <c r="G101" s="10">
        <v>42708</v>
      </c>
      <c r="H101" s="8">
        <v>2</v>
      </c>
      <c r="I101" t="s">
        <v>179</v>
      </c>
      <c r="J101" t="s">
        <v>276</v>
      </c>
      <c r="K101">
        <f>YEAR(Table13_1[[#This Row],[Date of Joining]])</f>
        <v>2016</v>
      </c>
      <c r="L101">
        <f ca="1">DATEDIF(Table13_1[[#This Row],[Date of Joining]],TODAY(),"y")</f>
        <v>9</v>
      </c>
    </row>
    <row r="102" spans="1:12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5">
        <v>66503</v>
      </c>
      <c r="G102" s="10">
        <v>42715</v>
      </c>
      <c r="H102" s="8">
        <v>2.879032258064516</v>
      </c>
      <c r="I102" t="s">
        <v>180</v>
      </c>
      <c r="J102" t="s">
        <v>217</v>
      </c>
      <c r="K102">
        <f>YEAR(Table13_1[[#This Row],[Date of Joining]])</f>
        <v>2016</v>
      </c>
      <c r="L102">
        <f ca="1">DATEDIF(Table13_1[[#This Row],[Date of Joining]],TODAY(),"y")</f>
        <v>9</v>
      </c>
    </row>
    <row r="103" spans="1:12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5">
        <v>42096</v>
      </c>
      <c r="G103" s="10">
        <v>42722</v>
      </c>
      <c r="H103" s="8">
        <v>2.879032258064516</v>
      </c>
      <c r="I103" t="s">
        <v>181</v>
      </c>
      <c r="J103" t="s">
        <v>185</v>
      </c>
      <c r="K103">
        <f>YEAR(Table13_1[[#This Row],[Date of Joining]])</f>
        <v>2016</v>
      </c>
      <c r="L103">
        <f ca="1">DATEDIF(Table13_1[[#This Row],[Date of Joining]],TODAY(),"y")</f>
        <v>9</v>
      </c>
    </row>
    <row r="104" spans="1:12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5">
        <v>79145</v>
      </c>
      <c r="G104" s="10">
        <v>42729</v>
      </c>
      <c r="H104" s="8">
        <v>5</v>
      </c>
      <c r="I104" t="s">
        <v>179</v>
      </c>
      <c r="J104" t="s">
        <v>212</v>
      </c>
      <c r="K104">
        <f>YEAR(Table13_1[[#This Row],[Date of Joining]])</f>
        <v>2016</v>
      </c>
      <c r="L104">
        <f ca="1">DATEDIF(Table13_1[[#This Row],[Date of Joining]],TODAY(),"y")</f>
        <v>9</v>
      </c>
    </row>
    <row r="105" spans="1:12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5">
        <v>61556</v>
      </c>
      <c r="G105" s="10">
        <v>42736</v>
      </c>
      <c r="H105" s="8">
        <v>1</v>
      </c>
      <c r="I105" t="s">
        <v>179</v>
      </c>
      <c r="J105" t="s">
        <v>239</v>
      </c>
      <c r="K105">
        <f>YEAR(Table13_1[[#This Row],[Date of Joining]])</f>
        <v>2017</v>
      </c>
      <c r="L105">
        <f ca="1">DATEDIF(Table13_1[[#This Row],[Date of Joining]],TODAY(),"y")</f>
        <v>9</v>
      </c>
    </row>
    <row r="106" spans="1:12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5">
        <v>87963</v>
      </c>
      <c r="G106" s="10">
        <v>42743</v>
      </c>
      <c r="H106" s="8">
        <v>3</v>
      </c>
      <c r="I106" t="s">
        <v>179</v>
      </c>
      <c r="J106" t="s">
        <v>221</v>
      </c>
      <c r="K106">
        <f>YEAR(Table13_1[[#This Row],[Date of Joining]])</f>
        <v>2017</v>
      </c>
      <c r="L106">
        <f ca="1">DATEDIF(Table13_1[[#This Row],[Date of Joining]],TODAY(),"y")</f>
        <v>9</v>
      </c>
    </row>
    <row r="107" spans="1:12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5">
        <v>48325</v>
      </c>
      <c r="G107" s="10">
        <v>42750</v>
      </c>
      <c r="H107" s="8">
        <v>2.879032258064516</v>
      </c>
      <c r="I107" t="s">
        <v>180</v>
      </c>
      <c r="J107" t="s">
        <v>207</v>
      </c>
      <c r="K107">
        <f>YEAR(Table13_1[[#This Row],[Date of Joining]])</f>
        <v>2017</v>
      </c>
      <c r="L107">
        <f ca="1">DATEDIF(Table13_1[[#This Row],[Date of Joining]],TODAY(),"y")</f>
        <v>9</v>
      </c>
    </row>
    <row r="108" spans="1:12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5">
        <v>86412</v>
      </c>
      <c r="G108" s="10">
        <v>42757</v>
      </c>
      <c r="H108" s="8">
        <v>2</v>
      </c>
      <c r="I108" t="s">
        <v>181</v>
      </c>
      <c r="J108" t="s">
        <v>265</v>
      </c>
      <c r="K108">
        <f>YEAR(Table13_1[[#This Row],[Date of Joining]])</f>
        <v>2017</v>
      </c>
      <c r="L108">
        <f ca="1">DATEDIF(Table13_1[[#This Row],[Date of Joining]],TODAY(),"y")</f>
        <v>9</v>
      </c>
    </row>
    <row r="109" spans="1:12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5">
        <v>66761</v>
      </c>
      <c r="G109" s="10">
        <v>42764</v>
      </c>
      <c r="H109" s="8">
        <v>1</v>
      </c>
      <c r="I109" t="s">
        <v>179</v>
      </c>
      <c r="J109" t="s">
        <v>234</v>
      </c>
      <c r="K109">
        <f>YEAR(Table13_1[[#This Row],[Date of Joining]])</f>
        <v>2017</v>
      </c>
      <c r="L109">
        <f ca="1">DATEDIF(Table13_1[[#This Row],[Date of Joining]],TODAY(),"y")</f>
        <v>9</v>
      </c>
    </row>
    <row r="110" spans="1:12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5">
        <v>88850</v>
      </c>
      <c r="G110" s="10">
        <v>42771</v>
      </c>
      <c r="H110" s="8">
        <v>1</v>
      </c>
      <c r="I110" t="s">
        <v>181</v>
      </c>
      <c r="J110" t="s">
        <v>231</v>
      </c>
      <c r="K110">
        <f>YEAR(Table13_1[[#This Row],[Date of Joining]])</f>
        <v>2017</v>
      </c>
      <c r="L110">
        <f ca="1">DATEDIF(Table13_1[[#This Row],[Date of Joining]],TODAY(),"y")</f>
        <v>8</v>
      </c>
    </row>
    <row r="111" spans="1:12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5">
        <v>31293</v>
      </c>
      <c r="G111" s="10">
        <v>42113</v>
      </c>
      <c r="H111" s="8">
        <v>2</v>
      </c>
      <c r="I111" t="s">
        <v>181</v>
      </c>
      <c r="J111" t="s">
        <v>269</v>
      </c>
      <c r="K111">
        <f>YEAR(Table13_1[[#This Row],[Date of Joining]])</f>
        <v>2015</v>
      </c>
      <c r="L111">
        <f ca="1">DATEDIF(Table13_1[[#This Row],[Date of Joining]],TODAY(),"y")</f>
        <v>10</v>
      </c>
    </row>
    <row r="112" spans="1:12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5">
        <v>34306</v>
      </c>
      <c r="G112" s="10">
        <v>42785</v>
      </c>
      <c r="H112" s="8">
        <v>5</v>
      </c>
      <c r="I112" t="s">
        <v>181</v>
      </c>
      <c r="J112" t="s">
        <v>226</v>
      </c>
      <c r="K112">
        <f>YEAR(Table13_1[[#This Row],[Date of Joining]])</f>
        <v>2017</v>
      </c>
      <c r="L112">
        <f ca="1">DATEDIF(Table13_1[[#This Row],[Date of Joining]],TODAY(),"y")</f>
        <v>8</v>
      </c>
    </row>
    <row r="113" spans="1:12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5">
        <v>78330</v>
      </c>
      <c r="G113" s="10">
        <v>42792</v>
      </c>
      <c r="H113" s="8">
        <v>2.879032258064516</v>
      </c>
      <c r="I113" t="s">
        <v>179</v>
      </c>
      <c r="J113" t="s">
        <v>242</v>
      </c>
      <c r="K113">
        <f>YEAR(Table13_1[[#This Row],[Date of Joining]])</f>
        <v>2017</v>
      </c>
      <c r="L113">
        <f ca="1">DATEDIF(Table13_1[[#This Row],[Date of Joining]],TODAY(),"y")</f>
        <v>8</v>
      </c>
    </row>
    <row r="114" spans="1:12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5">
        <v>47653</v>
      </c>
      <c r="G114" s="10">
        <v>42799</v>
      </c>
      <c r="H114" s="8">
        <v>1</v>
      </c>
      <c r="I114" t="s">
        <v>180</v>
      </c>
      <c r="J114" t="s">
        <v>227</v>
      </c>
      <c r="K114">
        <f>YEAR(Table13_1[[#This Row],[Date of Joining]])</f>
        <v>2017</v>
      </c>
      <c r="L114">
        <f ca="1">DATEDIF(Table13_1[[#This Row],[Date of Joining]],TODAY(),"y")</f>
        <v>8</v>
      </c>
    </row>
    <row r="115" spans="1:12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5">
        <v>44627</v>
      </c>
      <c r="G115" s="10">
        <v>42806</v>
      </c>
      <c r="H115" s="8">
        <v>4</v>
      </c>
      <c r="I115" t="s">
        <v>178</v>
      </c>
      <c r="J115" t="s">
        <v>247</v>
      </c>
      <c r="K115">
        <f>YEAR(Table13_1[[#This Row],[Date of Joining]])</f>
        <v>2017</v>
      </c>
      <c r="L115">
        <f ca="1">DATEDIF(Table13_1[[#This Row],[Date of Joining]],TODAY(),"y")</f>
        <v>8</v>
      </c>
    </row>
    <row r="116" spans="1:12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5">
        <v>92343</v>
      </c>
      <c r="G116" s="10">
        <v>42813</v>
      </c>
      <c r="H116" s="8">
        <v>4</v>
      </c>
      <c r="I116" t="s">
        <v>181</v>
      </c>
      <c r="J116" t="s">
        <v>188</v>
      </c>
      <c r="K116">
        <f>YEAR(Table13_1[[#This Row],[Date of Joining]])</f>
        <v>2017</v>
      </c>
      <c r="L116">
        <f ca="1">DATEDIF(Table13_1[[#This Row],[Date of Joining]],TODAY(),"y")</f>
        <v>8</v>
      </c>
    </row>
    <row r="117" spans="1:12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5">
        <v>38837</v>
      </c>
      <c r="G117" s="10">
        <v>42820</v>
      </c>
      <c r="H117" s="8">
        <v>5</v>
      </c>
      <c r="I117" t="s">
        <v>181</v>
      </c>
      <c r="J117" t="s">
        <v>235</v>
      </c>
      <c r="K117">
        <f>YEAR(Table13_1[[#This Row],[Date of Joining]])</f>
        <v>2017</v>
      </c>
      <c r="L117">
        <f ca="1">DATEDIF(Table13_1[[#This Row],[Date of Joining]],TODAY(),"y")</f>
        <v>8</v>
      </c>
    </row>
    <row r="118" spans="1:12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5">
        <v>73483</v>
      </c>
      <c r="G118" s="10">
        <v>42827</v>
      </c>
      <c r="H118" s="8">
        <v>1</v>
      </c>
      <c r="I118" t="s">
        <v>179</v>
      </c>
      <c r="J118" t="s">
        <v>213</v>
      </c>
      <c r="K118">
        <f>YEAR(Table13_1[[#This Row],[Date of Joining]])</f>
        <v>2017</v>
      </c>
      <c r="L118">
        <f ca="1">DATEDIF(Table13_1[[#This Row],[Date of Joining]],TODAY(),"y")</f>
        <v>8</v>
      </c>
    </row>
    <row r="119" spans="1:12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5">
        <v>95032</v>
      </c>
      <c r="G119" s="10">
        <v>42834</v>
      </c>
      <c r="H119" s="8">
        <v>3</v>
      </c>
      <c r="I119" t="s">
        <v>181</v>
      </c>
      <c r="J119" t="s">
        <v>270</v>
      </c>
      <c r="K119">
        <f>YEAR(Table13_1[[#This Row],[Date of Joining]])</f>
        <v>2017</v>
      </c>
      <c r="L119">
        <f ca="1">DATEDIF(Table13_1[[#This Row],[Date of Joining]],TODAY(),"y")</f>
        <v>8</v>
      </c>
    </row>
    <row r="120" spans="1:12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5">
        <v>44358</v>
      </c>
      <c r="G120" s="10">
        <v>42841</v>
      </c>
      <c r="H120" s="8">
        <v>2.879032258064516</v>
      </c>
      <c r="I120" t="s">
        <v>181</v>
      </c>
      <c r="J120" t="s">
        <v>258</v>
      </c>
      <c r="K120">
        <f>YEAR(Table13_1[[#This Row],[Date of Joining]])</f>
        <v>2017</v>
      </c>
      <c r="L120">
        <f ca="1">DATEDIF(Table13_1[[#This Row],[Date of Joining]],TODAY(),"y")</f>
        <v>8</v>
      </c>
    </row>
    <row r="121" spans="1:12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5">
        <v>66157.5</v>
      </c>
      <c r="G121" s="10">
        <v>42113</v>
      </c>
      <c r="H121" s="8">
        <v>5</v>
      </c>
      <c r="I121" t="s">
        <v>178</v>
      </c>
      <c r="J121" t="s">
        <v>228</v>
      </c>
      <c r="K121">
        <f>YEAR(Table13_1[[#This Row],[Date of Joining]])</f>
        <v>2015</v>
      </c>
      <c r="L121">
        <f ca="1">DATEDIF(Table13_1[[#This Row],[Date of Joining]],TODAY(),"y")</f>
        <v>10</v>
      </c>
    </row>
    <row r="122" spans="1:12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5">
        <v>45676</v>
      </c>
      <c r="G122" s="10">
        <v>42855</v>
      </c>
      <c r="H122" s="8">
        <v>2</v>
      </c>
      <c r="I122" t="s">
        <v>181</v>
      </c>
      <c r="J122" t="s">
        <v>194</v>
      </c>
      <c r="K122">
        <f>YEAR(Table13_1[[#This Row],[Date of Joining]])</f>
        <v>2017</v>
      </c>
      <c r="L122">
        <f ca="1">DATEDIF(Table13_1[[#This Row],[Date of Joining]],TODAY(),"y")</f>
        <v>8</v>
      </c>
    </row>
    <row r="123" spans="1:12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5">
        <v>52036</v>
      </c>
      <c r="G123" s="10">
        <v>42862</v>
      </c>
      <c r="H123" s="8">
        <v>3</v>
      </c>
      <c r="I123" t="s">
        <v>180</v>
      </c>
      <c r="J123" t="s">
        <v>199</v>
      </c>
      <c r="K123">
        <f>YEAR(Table13_1[[#This Row],[Date of Joining]])</f>
        <v>2017</v>
      </c>
      <c r="L123">
        <f ca="1">DATEDIF(Table13_1[[#This Row],[Date of Joining]],TODAY(),"y")</f>
        <v>8</v>
      </c>
    </row>
    <row r="124" spans="1:12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5">
        <v>30357</v>
      </c>
      <c r="G124" s="10">
        <v>42869</v>
      </c>
      <c r="H124" s="8">
        <v>5</v>
      </c>
      <c r="I124" t="s">
        <v>180</v>
      </c>
      <c r="J124" t="s">
        <v>237</v>
      </c>
      <c r="K124">
        <f>YEAR(Table13_1[[#This Row],[Date of Joining]])</f>
        <v>2017</v>
      </c>
      <c r="L124">
        <f ca="1">DATEDIF(Table13_1[[#This Row],[Date of Joining]],TODAY(),"y")</f>
        <v>8</v>
      </c>
    </row>
    <row r="125" spans="1:12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5">
        <v>60034</v>
      </c>
      <c r="G125" s="10">
        <v>42876</v>
      </c>
      <c r="H125" s="8">
        <v>1</v>
      </c>
      <c r="I125" t="s">
        <v>181</v>
      </c>
      <c r="J125" t="s">
        <v>212</v>
      </c>
      <c r="K125">
        <f>YEAR(Table13_1[[#This Row],[Date of Joining]])</f>
        <v>2017</v>
      </c>
      <c r="L125">
        <f ca="1">DATEDIF(Table13_1[[#This Row],[Date of Joining]],TODAY(),"y")</f>
        <v>8</v>
      </c>
    </row>
    <row r="126" spans="1:12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5">
        <v>90019</v>
      </c>
      <c r="G126" s="10">
        <v>42883</v>
      </c>
      <c r="H126" s="8">
        <v>5</v>
      </c>
      <c r="I126" t="s">
        <v>179</v>
      </c>
      <c r="J126" t="s">
        <v>279</v>
      </c>
      <c r="K126">
        <f>YEAR(Table13_1[[#This Row],[Date of Joining]])</f>
        <v>2017</v>
      </c>
      <c r="L126">
        <f ca="1">DATEDIF(Table13_1[[#This Row],[Date of Joining]],TODAY(),"y")</f>
        <v>8</v>
      </c>
    </row>
    <row r="127" spans="1:12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5">
        <v>71494</v>
      </c>
      <c r="G127" s="10">
        <v>42890</v>
      </c>
      <c r="H127" s="8">
        <v>3</v>
      </c>
      <c r="I127" t="s">
        <v>180</v>
      </c>
      <c r="J127" t="s">
        <v>238</v>
      </c>
      <c r="K127">
        <f>YEAR(Table13_1[[#This Row],[Date of Joining]])</f>
        <v>2017</v>
      </c>
      <c r="L127">
        <f ca="1">DATEDIF(Table13_1[[#This Row],[Date of Joining]],TODAY(),"y")</f>
        <v>8</v>
      </c>
    </row>
    <row r="128" spans="1:12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5">
        <v>91953</v>
      </c>
      <c r="G128" s="10">
        <v>42897</v>
      </c>
      <c r="H128" s="8">
        <v>2</v>
      </c>
      <c r="I128" t="s">
        <v>180</v>
      </c>
      <c r="J128" t="s">
        <v>273</v>
      </c>
      <c r="K128">
        <f>YEAR(Table13_1[[#This Row],[Date of Joining]])</f>
        <v>2017</v>
      </c>
      <c r="L128">
        <f ca="1">DATEDIF(Table13_1[[#This Row],[Date of Joining]],TODAY(),"y")</f>
        <v>8</v>
      </c>
    </row>
    <row r="129" spans="1:12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5">
        <v>30402</v>
      </c>
      <c r="G129" s="10">
        <v>42904</v>
      </c>
      <c r="H129" s="8">
        <v>1</v>
      </c>
      <c r="I129" t="s">
        <v>181</v>
      </c>
      <c r="J129" t="s">
        <v>195</v>
      </c>
      <c r="K129">
        <f>YEAR(Table13_1[[#This Row],[Date of Joining]])</f>
        <v>2017</v>
      </c>
      <c r="L129">
        <f ca="1">DATEDIF(Table13_1[[#This Row],[Date of Joining]],TODAY(),"y")</f>
        <v>8</v>
      </c>
    </row>
    <row r="130" spans="1:12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5">
        <v>62994</v>
      </c>
      <c r="G130" s="10">
        <v>42911</v>
      </c>
      <c r="H130" s="8">
        <v>2.879032258064516</v>
      </c>
      <c r="I130" t="s">
        <v>181</v>
      </c>
      <c r="J130" t="s">
        <v>178</v>
      </c>
      <c r="K130">
        <f>YEAR(Table13_1[[#This Row],[Date of Joining]])</f>
        <v>2017</v>
      </c>
      <c r="L130">
        <f ca="1">DATEDIF(Table13_1[[#This Row],[Date of Joining]],TODAY(),"y")</f>
        <v>8</v>
      </c>
    </row>
    <row r="131" spans="1:12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5">
        <v>48289</v>
      </c>
      <c r="G131" s="10">
        <v>42113</v>
      </c>
      <c r="H131" s="8">
        <v>3</v>
      </c>
      <c r="I131" t="s">
        <v>180</v>
      </c>
      <c r="J131" t="s">
        <v>248</v>
      </c>
      <c r="K131">
        <f>YEAR(Table13_1[[#This Row],[Date of Joining]])</f>
        <v>2015</v>
      </c>
      <c r="L131">
        <f ca="1">DATEDIF(Table13_1[[#This Row],[Date of Joining]],TODAY(),"y")</f>
        <v>10</v>
      </c>
    </row>
    <row r="132" spans="1:12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5">
        <v>34402</v>
      </c>
      <c r="G132" s="10">
        <v>42925</v>
      </c>
      <c r="H132" s="8">
        <v>3</v>
      </c>
      <c r="I132" t="s">
        <v>179</v>
      </c>
      <c r="J132" t="s">
        <v>274</v>
      </c>
      <c r="K132">
        <f>YEAR(Table13_1[[#This Row],[Date of Joining]])</f>
        <v>2017</v>
      </c>
      <c r="L132">
        <f ca="1">DATEDIF(Table13_1[[#This Row],[Date of Joining]],TODAY(),"y")</f>
        <v>8</v>
      </c>
    </row>
    <row r="133" spans="1:12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5">
        <v>38678</v>
      </c>
      <c r="G133" s="10">
        <v>42932</v>
      </c>
      <c r="H133" s="8">
        <v>3</v>
      </c>
      <c r="I133" t="s">
        <v>179</v>
      </c>
      <c r="J133" t="s">
        <v>241</v>
      </c>
      <c r="K133">
        <f>YEAR(Table13_1[[#This Row],[Date of Joining]])</f>
        <v>2017</v>
      </c>
      <c r="L133">
        <f ca="1">DATEDIF(Table13_1[[#This Row],[Date of Joining]],TODAY(),"y")</f>
        <v>8</v>
      </c>
    </row>
    <row r="134" spans="1:12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5">
        <v>45758</v>
      </c>
      <c r="G134" s="10">
        <v>42939</v>
      </c>
      <c r="H134" s="8">
        <v>3</v>
      </c>
      <c r="I134" t="s">
        <v>181</v>
      </c>
      <c r="J134" t="s">
        <v>189</v>
      </c>
      <c r="K134">
        <f>YEAR(Table13_1[[#This Row],[Date of Joining]])</f>
        <v>2017</v>
      </c>
      <c r="L134">
        <f ca="1">DATEDIF(Table13_1[[#This Row],[Date of Joining]],TODAY(),"y")</f>
        <v>8</v>
      </c>
    </row>
    <row r="135" spans="1:12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5">
        <v>62476</v>
      </c>
      <c r="G135" s="10">
        <v>42946</v>
      </c>
      <c r="H135" s="8">
        <v>1</v>
      </c>
      <c r="I135" t="s">
        <v>179</v>
      </c>
      <c r="J135" t="s">
        <v>227</v>
      </c>
      <c r="K135">
        <f>YEAR(Table13_1[[#This Row],[Date of Joining]])</f>
        <v>2017</v>
      </c>
      <c r="L135">
        <f ca="1">DATEDIF(Table13_1[[#This Row],[Date of Joining]],TODAY(),"y")</f>
        <v>8</v>
      </c>
    </row>
    <row r="136" spans="1:12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5">
        <v>39280</v>
      </c>
      <c r="G136" s="10">
        <v>42953</v>
      </c>
      <c r="H136" s="8">
        <v>3</v>
      </c>
      <c r="I136" t="s">
        <v>181</v>
      </c>
      <c r="J136" t="s">
        <v>216</v>
      </c>
      <c r="K136">
        <f>YEAR(Table13_1[[#This Row],[Date of Joining]])</f>
        <v>2017</v>
      </c>
      <c r="L136">
        <f ca="1">DATEDIF(Table13_1[[#This Row],[Date of Joining]],TODAY(),"y")</f>
        <v>8</v>
      </c>
    </row>
    <row r="137" spans="1:12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5">
        <v>60335</v>
      </c>
      <c r="G137" s="10">
        <v>42960</v>
      </c>
      <c r="H137" s="8">
        <v>4</v>
      </c>
      <c r="I137" t="s">
        <v>179</v>
      </c>
      <c r="J137" t="s">
        <v>223</v>
      </c>
      <c r="K137">
        <f>YEAR(Table13_1[[#This Row],[Date of Joining]])</f>
        <v>2017</v>
      </c>
      <c r="L137">
        <f ca="1">DATEDIF(Table13_1[[#This Row],[Date of Joining]],TODAY(),"y")</f>
        <v>8</v>
      </c>
    </row>
    <row r="138" spans="1:12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5">
        <v>84968</v>
      </c>
      <c r="G138" s="10">
        <v>42967</v>
      </c>
      <c r="H138" s="8">
        <v>2.879032258064516</v>
      </c>
      <c r="I138" t="s">
        <v>181</v>
      </c>
      <c r="J138" t="s">
        <v>190</v>
      </c>
      <c r="K138">
        <f>YEAR(Table13_1[[#This Row],[Date of Joining]])</f>
        <v>2017</v>
      </c>
      <c r="L138">
        <f ca="1">DATEDIF(Table13_1[[#This Row],[Date of Joining]],TODAY(),"y")</f>
        <v>8</v>
      </c>
    </row>
    <row r="139" spans="1:12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5">
        <v>84750</v>
      </c>
      <c r="G139" s="10">
        <v>42974</v>
      </c>
      <c r="H139" s="8">
        <v>4</v>
      </c>
      <c r="I139" t="s">
        <v>181</v>
      </c>
      <c r="J139" t="s">
        <v>203</v>
      </c>
      <c r="K139">
        <f>YEAR(Table13_1[[#This Row],[Date of Joining]])</f>
        <v>2017</v>
      </c>
      <c r="L139">
        <f ca="1">DATEDIF(Table13_1[[#This Row],[Date of Joining]],TODAY(),"y")</f>
        <v>8</v>
      </c>
    </row>
    <row r="140" spans="1:12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5">
        <v>73348</v>
      </c>
      <c r="G140" s="10">
        <v>42981</v>
      </c>
      <c r="H140" s="8">
        <v>2</v>
      </c>
      <c r="I140" t="s">
        <v>181</v>
      </c>
      <c r="J140" t="s">
        <v>277</v>
      </c>
      <c r="K140">
        <f>YEAR(Table13_1[[#This Row],[Date of Joining]])</f>
        <v>2017</v>
      </c>
      <c r="L140">
        <f ca="1">DATEDIF(Table13_1[[#This Row],[Date of Joining]],TODAY(),"y")</f>
        <v>8</v>
      </c>
    </row>
    <row r="141" spans="1:12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5">
        <v>67929.08</v>
      </c>
      <c r="G141" s="10">
        <v>42988</v>
      </c>
      <c r="H141" s="8">
        <v>4</v>
      </c>
      <c r="I141" t="s">
        <v>179</v>
      </c>
      <c r="J141" t="s">
        <v>196</v>
      </c>
      <c r="K141">
        <f>YEAR(Table13_1[[#This Row],[Date of Joining]])</f>
        <v>2017</v>
      </c>
      <c r="L141">
        <f ca="1">DATEDIF(Table13_1[[#This Row],[Date of Joining]],TODAY(),"y")</f>
        <v>8</v>
      </c>
    </row>
    <row r="142" spans="1:12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5">
        <v>66882</v>
      </c>
      <c r="G142" s="10">
        <v>42995</v>
      </c>
      <c r="H142" s="8">
        <v>5</v>
      </c>
      <c r="I142" t="s">
        <v>179</v>
      </c>
      <c r="J142" t="s">
        <v>218</v>
      </c>
      <c r="K142">
        <f>YEAR(Table13_1[[#This Row],[Date of Joining]])</f>
        <v>2017</v>
      </c>
      <c r="L142">
        <f ca="1">DATEDIF(Table13_1[[#This Row],[Date of Joining]],TODAY(),"y")</f>
        <v>8</v>
      </c>
    </row>
    <row r="143" spans="1:12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5">
        <v>86775</v>
      </c>
      <c r="G143" s="10">
        <v>43002</v>
      </c>
      <c r="H143" s="8">
        <v>3</v>
      </c>
      <c r="I143" t="s">
        <v>179</v>
      </c>
      <c r="J143" t="s">
        <v>214</v>
      </c>
      <c r="K143">
        <f>YEAR(Table13_1[[#This Row],[Date of Joining]])</f>
        <v>2017</v>
      </c>
      <c r="L143">
        <f ca="1">DATEDIF(Table13_1[[#This Row],[Date of Joining]],TODAY(),"y")</f>
        <v>8</v>
      </c>
    </row>
    <row r="144" spans="1:12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5">
        <v>91620</v>
      </c>
      <c r="G144" s="10">
        <v>43009</v>
      </c>
      <c r="H144" s="8">
        <v>2.879032258064516</v>
      </c>
      <c r="I144" t="s">
        <v>179</v>
      </c>
      <c r="J144" t="s">
        <v>233</v>
      </c>
      <c r="K144">
        <f>YEAR(Table13_1[[#This Row],[Date of Joining]])</f>
        <v>2017</v>
      </c>
      <c r="L144">
        <f ca="1">DATEDIF(Table13_1[[#This Row],[Date of Joining]],TODAY(),"y")</f>
        <v>8</v>
      </c>
    </row>
    <row r="145" spans="1:12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5">
        <v>94148</v>
      </c>
      <c r="G145" s="10">
        <v>43016</v>
      </c>
      <c r="H145" s="8">
        <v>2</v>
      </c>
      <c r="I145" t="s">
        <v>179</v>
      </c>
      <c r="J145" t="s">
        <v>280</v>
      </c>
      <c r="K145">
        <f>YEAR(Table13_1[[#This Row],[Date of Joining]])</f>
        <v>2017</v>
      </c>
      <c r="L145">
        <f ca="1">DATEDIF(Table13_1[[#This Row],[Date of Joining]],TODAY(),"y")</f>
        <v>8</v>
      </c>
    </row>
    <row r="146" spans="1:12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5">
        <v>35627</v>
      </c>
      <c r="G146" s="10">
        <v>43023</v>
      </c>
      <c r="H146" s="8">
        <v>5</v>
      </c>
      <c r="I146" t="s">
        <v>181</v>
      </c>
      <c r="J146" t="s">
        <v>259</v>
      </c>
      <c r="K146">
        <f>YEAR(Table13_1[[#This Row],[Date of Joining]])</f>
        <v>2017</v>
      </c>
      <c r="L146">
        <f ca="1">DATEDIF(Table13_1[[#This Row],[Date of Joining]],TODAY(),"y")</f>
        <v>8</v>
      </c>
    </row>
    <row r="147" spans="1:12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5">
        <v>57141</v>
      </c>
      <c r="G147" s="10">
        <v>43030</v>
      </c>
      <c r="H147" s="8">
        <v>2</v>
      </c>
      <c r="I147" t="s">
        <v>179</v>
      </c>
      <c r="J147" t="s">
        <v>275</v>
      </c>
      <c r="K147">
        <f>YEAR(Table13_1[[#This Row],[Date of Joining]])</f>
        <v>2017</v>
      </c>
      <c r="L147">
        <f ca="1">DATEDIF(Table13_1[[#This Row],[Date of Joining]],TODAY(),"y")</f>
        <v>8</v>
      </c>
    </row>
    <row r="148" spans="1:12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5">
        <v>65270</v>
      </c>
      <c r="G148" s="10">
        <v>43037</v>
      </c>
      <c r="H148" s="8">
        <v>1</v>
      </c>
      <c r="I148" t="s">
        <v>181</v>
      </c>
      <c r="J148" t="s">
        <v>200</v>
      </c>
      <c r="K148">
        <f>YEAR(Table13_1[[#This Row],[Date of Joining]])</f>
        <v>2017</v>
      </c>
      <c r="L148">
        <f ca="1">DATEDIF(Table13_1[[#This Row],[Date of Joining]],TODAY(),"y")</f>
        <v>8</v>
      </c>
    </row>
    <row r="149" spans="1:12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5">
        <v>67335</v>
      </c>
      <c r="G149" s="10">
        <v>43044</v>
      </c>
      <c r="H149" s="8">
        <v>1</v>
      </c>
      <c r="I149" t="s">
        <v>179</v>
      </c>
      <c r="J149" t="s">
        <v>261</v>
      </c>
      <c r="K149">
        <f>YEAR(Table13_1[[#This Row],[Date of Joining]])</f>
        <v>2017</v>
      </c>
      <c r="L149">
        <f ca="1">DATEDIF(Table13_1[[#This Row],[Date of Joining]],TODAY(),"y")</f>
        <v>8</v>
      </c>
    </row>
    <row r="150" spans="1:12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5">
        <v>98475</v>
      </c>
      <c r="G150" s="10">
        <v>43051</v>
      </c>
      <c r="H150" s="8">
        <v>5</v>
      </c>
      <c r="I150" t="s">
        <v>179</v>
      </c>
      <c r="J150" t="s">
        <v>276</v>
      </c>
      <c r="K150">
        <f>YEAR(Table13_1[[#This Row],[Date of Joining]])</f>
        <v>2017</v>
      </c>
      <c r="L150">
        <f ca="1">DATEDIF(Table13_1[[#This Row],[Date of Joining]],TODAY(),"y")</f>
        <v>8</v>
      </c>
    </row>
  </sheetData>
  <dataConsolidate/>
  <mergeCells count="11">
    <mergeCell ref="N14:R14"/>
    <mergeCell ref="N15:R15"/>
    <mergeCell ref="N16:R16"/>
    <mergeCell ref="N17:R17"/>
    <mergeCell ref="N18:R18"/>
    <mergeCell ref="N8:R8"/>
    <mergeCell ref="N9:R9"/>
    <mergeCell ref="N10:R10"/>
    <mergeCell ref="N11:R11"/>
    <mergeCell ref="N12:R12"/>
    <mergeCell ref="N13:R13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2026-01-31T07:09:36Z</dcterms:modified>
</cp:coreProperties>
</file>