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tri_Excel\"/>
    </mc:Choice>
  </mc:AlternateContent>
  <xr:revisionPtr revIDLastSave="0" documentId="13_ncr:1_{4B465589-90ED-4397-A7F9-2DEC4096083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Cleaning" sheetId="5" r:id="rId2"/>
    <sheet name="Cleaned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1" i="6" l="1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20" i="6"/>
  <c r="B119" i="6"/>
  <c r="B118" i="6"/>
  <c r="B117" i="6"/>
  <c r="B116" i="6"/>
  <c r="B115" i="6"/>
  <c r="B114" i="6"/>
  <c r="B113" i="6"/>
  <c r="B112" i="6"/>
  <c r="B111" i="6"/>
  <c r="B110" i="6"/>
  <c r="B109" i="6"/>
  <c r="B108" i="6"/>
  <c r="B107" i="6"/>
  <c r="B106" i="6"/>
  <c r="B105" i="6"/>
  <c r="B104" i="6"/>
  <c r="B103" i="6"/>
  <c r="B102" i="6"/>
  <c r="B101" i="6"/>
  <c r="B100" i="6"/>
  <c r="B99" i="6"/>
  <c r="B98" i="6"/>
  <c r="B97" i="6"/>
  <c r="B96" i="6"/>
  <c r="B95" i="6"/>
  <c r="B94" i="6"/>
  <c r="B93" i="6"/>
  <c r="B92" i="6"/>
  <c r="B91" i="6"/>
  <c r="B90" i="6"/>
  <c r="B89" i="6"/>
  <c r="B88" i="6"/>
  <c r="B87" i="6"/>
  <c r="B86" i="6"/>
  <c r="B85" i="6"/>
  <c r="B84" i="6"/>
  <c r="B83" i="6"/>
  <c r="B82" i="6"/>
  <c r="B81" i="6"/>
  <c r="B80" i="6"/>
  <c r="B79" i="6"/>
  <c r="B78" i="6"/>
  <c r="B77" i="6"/>
  <c r="B76" i="6"/>
  <c r="B75" i="6"/>
  <c r="B74" i="6"/>
  <c r="B73" i="6"/>
  <c r="B72" i="6"/>
  <c r="B71" i="6"/>
  <c r="B70" i="6"/>
  <c r="B69" i="6"/>
  <c r="B68" i="6"/>
  <c r="B67" i="6"/>
  <c r="B66" i="6"/>
  <c r="B65" i="6"/>
  <c r="B64" i="6"/>
  <c r="B63" i="6"/>
  <c r="B62" i="6"/>
  <c r="B61" i="6"/>
  <c r="B60" i="6"/>
  <c r="B59" i="6"/>
  <c r="B58" i="6"/>
  <c r="B57" i="6"/>
  <c r="B56" i="6"/>
  <c r="B55" i="6"/>
  <c r="B54" i="6"/>
  <c r="B53" i="6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B4" i="6"/>
  <c r="B3" i="6"/>
  <c r="B2" i="6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2" i="5"/>
  <c r="O3" i="5"/>
  <c r="O4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68" i="5"/>
  <c r="O69" i="5"/>
  <c r="O70" i="5"/>
  <c r="O71" i="5"/>
  <c r="O72" i="5"/>
  <c r="O73" i="5"/>
  <c r="O74" i="5"/>
  <c r="O75" i="5"/>
  <c r="O76" i="5"/>
  <c r="O77" i="5"/>
  <c r="O78" i="5"/>
  <c r="O79" i="5"/>
  <c r="O80" i="5"/>
  <c r="O81" i="5"/>
  <c r="O82" i="5"/>
  <c r="O83" i="5"/>
  <c r="O84" i="5"/>
  <c r="O85" i="5"/>
  <c r="O86" i="5"/>
  <c r="O87" i="5"/>
  <c r="O88" i="5"/>
  <c r="O89" i="5"/>
  <c r="O90" i="5"/>
  <c r="O91" i="5"/>
  <c r="O92" i="5"/>
  <c r="O93" i="5"/>
  <c r="O94" i="5"/>
  <c r="O95" i="5"/>
  <c r="O96" i="5"/>
  <c r="O97" i="5"/>
  <c r="O98" i="5"/>
  <c r="O99" i="5"/>
  <c r="O100" i="5"/>
  <c r="O101" i="5"/>
  <c r="O102" i="5"/>
  <c r="O103" i="5"/>
  <c r="O104" i="5"/>
  <c r="O105" i="5"/>
  <c r="O106" i="5"/>
  <c r="O107" i="5"/>
  <c r="O108" i="5"/>
  <c r="O109" i="5"/>
  <c r="O110" i="5"/>
  <c r="O111" i="5"/>
  <c r="O112" i="5"/>
  <c r="O113" i="5"/>
  <c r="O114" i="5"/>
  <c r="O115" i="5"/>
  <c r="O116" i="5"/>
  <c r="O117" i="5"/>
  <c r="O118" i="5"/>
  <c r="O119" i="5"/>
  <c r="O120" i="5"/>
  <c r="O121" i="5"/>
  <c r="O122" i="5"/>
  <c r="O123" i="5"/>
  <c r="O124" i="5"/>
  <c r="O125" i="5"/>
  <c r="O126" i="5"/>
  <c r="O127" i="5"/>
  <c r="O128" i="5"/>
  <c r="O129" i="5"/>
  <c r="O130" i="5"/>
  <c r="O131" i="5"/>
  <c r="O132" i="5"/>
  <c r="O133" i="5"/>
  <c r="O134" i="5"/>
  <c r="O135" i="5"/>
  <c r="O136" i="5"/>
  <c r="O137" i="5"/>
  <c r="O138" i="5"/>
  <c r="O139" i="5"/>
  <c r="O140" i="5"/>
  <c r="O141" i="5"/>
  <c r="O142" i="5"/>
  <c r="O143" i="5"/>
  <c r="O144" i="5"/>
  <c r="O145" i="5"/>
  <c r="O146" i="5"/>
  <c r="O147" i="5"/>
  <c r="O148" i="5"/>
  <c r="O149" i="5"/>
  <c r="O150" i="5"/>
  <c r="O151" i="5"/>
  <c r="O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2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3" i="5"/>
  <c r="I144" i="5"/>
  <c r="I145" i="5"/>
  <c r="I146" i="5"/>
  <c r="I147" i="5"/>
  <c r="I148" i="5"/>
  <c r="I149" i="5"/>
  <c r="I150" i="5"/>
  <c r="I151" i="5"/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2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2" i="5"/>
  <c r="I102" i="5" l="1"/>
  <c r="I82" i="5"/>
  <c r="I42" i="5"/>
  <c r="I122" i="5"/>
  <c r="I62" i="5"/>
  <c r="I142" i="5"/>
  <c r="I22" i="5"/>
  <c r="I2" i="5"/>
</calcChain>
</file>

<file path=xl/sharedStrings.xml><?xml version="1.0" encoding="utf-8"?>
<sst xmlns="http://schemas.openxmlformats.org/spreadsheetml/2006/main" count="2089" uniqueCount="290">
  <si>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</si>
  <si>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</si>
  <si>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</si>
  <si>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</si>
  <si>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</si>
  <si>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</si>
  <si>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</si>
  <si>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</si>
  <si>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</si>
  <si>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</si>
  <si>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</si>
  <si>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</si>
  <si>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</si>
  <si>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</si>
  <si>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</si>
  <si>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</si>
  <si>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</si>
  <si>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</si>
  <si>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</si>
  <si>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</si>
  <si>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</si>
  <si>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</si>
  <si>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</si>
  <si>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</si>
  <si>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</si>
  <si>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</si>
  <si>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</si>
  <si>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</si>
  <si>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</si>
  <si>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</si>
  <si>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</si>
  <si>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</si>
  <si>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</si>
  <si>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</si>
  <si>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</si>
  <si>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</si>
  <si>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</si>
  <si>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</si>
  <si>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</si>
  <si>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</si>
  <si>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</si>
  <si>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</si>
  <si>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</si>
  <si>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</si>
  <si>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</si>
  <si>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</si>
  <si>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</si>
  <si>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</si>
  <si>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</si>
  <si>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</si>
  <si>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</si>
  <si>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</si>
  <si>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</si>
  <si>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</si>
  <si>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</si>
  <si>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</si>
  <si>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</si>
  <si>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</si>
  <si>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</si>
  <si>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</si>
  <si>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</si>
  <si>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</si>
  <si>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</si>
  <si>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</si>
  <si>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</si>
  <si>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</si>
  <si>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</si>
  <si>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</si>
  <si>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</si>
  <si>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</si>
  <si>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</si>
  <si>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</si>
  <si>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</si>
  <si>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</si>
  <si>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</si>
  <si>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</si>
  <si>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</si>
  <si>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</si>
  <si>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</si>
  <si>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</si>
  <si>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</si>
  <si>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</si>
  <si>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</si>
  <si>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</si>
  <si>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</si>
  <si>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</si>
  <si>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</si>
  <si>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</si>
  <si>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</si>
  <si>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</si>
  <si>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</si>
  <si>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</si>
  <si>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</si>
  <si>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</si>
  <si>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</si>
  <si>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</si>
  <si>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</si>
  <si>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</si>
  <si>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</si>
  <si>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</si>
  <si>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</si>
  <si>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</si>
  <si>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</si>
  <si>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</si>
  <si>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</si>
  <si>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</si>
  <si>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</si>
  <si>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</si>
  <si>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</si>
  <si>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</si>
  <si>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</si>
  <si>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</si>
  <si>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</si>
  <si>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</si>
  <si>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</si>
  <si>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</si>
  <si>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</si>
  <si>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</si>
  <si>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</si>
  <si>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</si>
  <si>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</si>
  <si>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</si>
  <si>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</si>
  <si>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</si>
  <si>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</si>
  <si>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</si>
  <si>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</si>
  <si>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</si>
  <si>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</si>
  <si>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</si>
  <si>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</si>
  <si>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</si>
  <si>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</si>
  <si>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</si>
  <si>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</si>
  <si>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</si>
  <si>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</si>
  <si>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</si>
  <si>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</si>
  <si>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</si>
  <si>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</si>
  <si>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</si>
  <si>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</si>
  <si>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</si>
  <si>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</si>
  <si>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</si>
  <si>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</si>
  <si>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</si>
  <si>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</si>
  <si>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</si>
  <si>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</si>
  <si>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</si>
  <si>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</si>
  <si>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</si>
  <si>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</si>
  <si>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</si>
  <si>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</si>
  <si>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</si>
  <si>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</si>
  <si>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</si>
  <si>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</si>
  <si>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</si>
  <si>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</si>
  <si>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</si>
  <si>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</si>
  <si>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</si>
  <si>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</si>
  <si>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</si>
  <si>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</si>
  <si>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</si>
  <si>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</si>
  <si>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</si>
  <si>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</si>
  <si>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</si>
  <si>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</si>
  <si>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</si>
  <si>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</si>
  <si>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</si>
  <si>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</si>
  <si>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</si>
  <si>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</si>
  <si>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</si>
  <si>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</si>
  <si>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</si>
  <si>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</si>
  <si>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</si>
  <si>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</si>
  <si>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</si>
  <si>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</si>
  <si>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</si>
  <si>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</si>
  <si>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</si>
  <si>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</si>
  <si>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</si>
  <si>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</si>
  <si>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</si>
  <si>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</si>
  <si>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</si>
  <si>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</si>
  <si>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</si>
  <si>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</si>
  <si>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</si>
  <si>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</si>
  <si>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</si>
  <si>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</si>
  <si>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</si>
  <si>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</si>
  <si>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</si>
  <si>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</si>
  <si>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</si>
  <si>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</si>
  <si>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</si>
  <si>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</si>
  <si>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</si>
  <si>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</si>
  <si>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</si>
  <si>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</si>
  <si>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</si>
  <si>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</si>
  <si>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</si>
  <si>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</si>
  <si>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</si>
  <si>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</si>
  <si>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</si>
  <si>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</si>
  <si>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</si>
  <si>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</si>
  <si>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</si>
  <si>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</si>
  <si>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</si>
  <si>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</si>
  <si>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</si>
  <si>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</si>
  <si>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</si>
  <si>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</si>
  <si>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</si>
  <si>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</si>
  <si>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</si>
  <si>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</si>
  <si>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</si>
  <si>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</si>
  <si>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</si>
  <si>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</si>
  <si>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</si>
  <si>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</si>
  <si>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</si>
  <si>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</si>
  <si>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</si>
  <si>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</si>
  <si>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</si>
  <si>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</si>
  <si>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</si>
  <si>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</si>
  <si>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</si>
  <si>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</si>
  <si>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</si>
  <si>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</si>
  <si>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</si>
  <si>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</si>
  <si>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</si>
  <si>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</si>
  <si>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</si>
  <si>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</si>
  <si>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</si>
  <si>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</si>
  <si>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</si>
  <si>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</si>
  <si>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</si>
  <si>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</si>
  <si>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</si>
  <si>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</si>
  <si>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</si>
  <si>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</si>
  <si>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</si>
  <si>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</si>
  <si>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</si>
  <si>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</si>
  <si>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</si>
  <si>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</si>
  <si>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</si>
  <si>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</si>
  <si>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Department2</t>
  </si>
  <si>
    <t>Country2</t>
  </si>
  <si>
    <t>Salary2</t>
  </si>
  <si>
    <t>Date Of Joining</t>
  </si>
  <si>
    <t>Date Of Joining2</t>
  </si>
  <si>
    <t>Gender2</t>
  </si>
  <si>
    <t>Email2</t>
  </si>
  <si>
    <t>Performance Rating2</t>
  </si>
  <si>
    <t>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</si>
</sst>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5" formatCode="d\-mm\-yy"/>
  </numFmts>
  <fonts count="4" x14ac:knownFonts="1">
    <font>
      <sz val="11"/>
      <color theme="1"/>
      <name val="Calibri"/>
      <family val="2"/>
      <scheme val="minor"/>
    </font>
    <font>
      <b/>
      <sz val="12"/>
      <color theme="5" tint="-0.499984740745262"/>
      <name val="Aptos"/>
      <family val="2"/>
    </font>
    <font>
      <b/>
      <sz val="12"/>
      <color theme="0"/>
      <name val="Aptos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165" fontId="0" fillId="0" borderId="0" xfId="0" applyNumberFormat="1"/>
    <xf numFmtId="2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164" fontId="2" fillId="3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" fontId="0" fillId="0" borderId="0" xfId="0" applyNumberFormat="1"/>
    <xf numFmtId="2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0" fillId="0" borderId="5" xfId="0" applyBorder="1"/>
    <xf numFmtId="0" fontId="0" fillId="0" borderId="2" xfId="0" applyBorder="1"/>
    <xf numFmtId="164" fontId="0" fillId="4" borderId="2" xfId="0" applyNumberFormat="1" applyFont="1" applyFill="1" applyBorder="1"/>
    <xf numFmtId="165" fontId="0" fillId="0" borderId="2" xfId="0" applyNumberFormat="1" applyBorder="1"/>
    <xf numFmtId="1" fontId="0" fillId="0" borderId="2" xfId="0" applyNumberFormat="1" applyBorder="1"/>
    <xf numFmtId="0" fontId="0" fillId="0" borderId="6" xfId="0" applyBorder="1"/>
    <xf numFmtId="164" fontId="0" fillId="5" borderId="2" xfId="0" applyNumberFormat="1" applyFont="1" applyFill="1" applyBorder="1"/>
    <xf numFmtId="0" fontId="0" fillId="0" borderId="7" xfId="0" applyBorder="1"/>
    <xf numFmtId="0" fontId="0" fillId="0" borderId="8" xfId="0" applyBorder="1"/>
    <xf numFmtId="164" fontId="0" fillId="5" borderId="8" xfId="0" applyNumberFormat="1" applyFont="1" applyFill="1" applyBorder="1"/>
    <xf numFmtId="165" fontId="0" fillId="0" borderId="8" xfId="0" applyNumberFormat="1" applyBorder="1"/>
    <xf numFmtId="1" fontId="0" fillId="0" borderId="8" xfId="0" applyNumberFormat="1" applyBorder="1"/>
    <xf numFmtId="0" fontId="0" fillId="0" borderId="9" xfId="0" applyBorder="1"/>
  </cellXfs>
  <cellStyles count="1">
    <cellStyle name="Normal" xfId="0" builtinId="0"/>
  </cellStyles>
  <dxfs count="2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numFmt numFmtId="2" formatCode="0.00"/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d\-mm\-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</dxf>
    <dxf>
      <numFmt numFmtId="2" formatCode="0.00"/>
    </dxf>
    <dxf>
      <numFmt numFmtId="165" formatCode="d\-mm\-yy"/>
    </dxf>
    <dxf>
      <numFmt numFmtId="164" formatCode="&quot;$&quot;#,##0"/>
    </dxf>
    <dxf>
      <numFmt numFmtId="165" formatCode="d\-mm\-yy"/>
    </dxf>
    <dxf>
      <numFmt numFmtId="164" formatCode="&quot;$&quot;#,##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165" formatCode="d\-mm\-yy"/>
    </dxf>
    <dxf>
      <numFmt numFmtId="164" formatCode="&quot;$&quot;#,##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5" tint="-0.499984740745262"/>
        <name val="Aptos"/>
        <family val="2"/>
        <scheme val="none"/>
      </font>
      <fill>
        <patternFill patternType="solid">
          <fgColor indexed="64"/>
          <bgColor rgb="FF92D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711911-9C9A-45E7-96FC-FBBDBFA3D414}" name="Table1" displayName="Table1" ref="A1:I151" totalsRowShown="0" headerRowDxfId="27" headerRowBorderDxfId="26" tableBorderDxfId="25">
  <autoFilter ref="A1:I151" xr:uid="{F0711911-9C9A-45E7-96FC-FBBDBFA3D414}"/>
  <tableColumns count="9">
    <tableColumn id="1" xr3:uid="{26EA0781-0444-4421-BC73-C4E912835054}" name="Employee ID"/>
    <tableColumn id="2" xr3:uid="{D21773F0-5EC2-4B48-A767-A74B1284CFB0}" name="Name"/>
    <tableColumn id="3" xr3:uid="{053974CA-633F-4406-B2CA-FD568D36077D}" name="Department"/>
    <tableColumn id="4" xr3:uid="{2A62BA3F-43CC-4D24-9BBA-E3FB1F09218D}" name="Country"/>
    <tableColumn id="5" xr3:uid="{6B0863AF-45C8-44DF-A189-56CF266FE27C}" name="Salary" dataDxfId="24"/>
    <tableColumn id="6" xr3:uid="{69DB2B4C-47AF-4599-8436-DE1B02912889}" name="Date of Joining" dataDxfId="23"/>
    <tableColumn id="7" xr3:uid="{A039AA54-CEBF-4005-9B74-E9C6265A57A1}" name="Performance Rating" dataDxfId="22"/>
    <tableColumn id="8" xr3:uid="{A523B7F3-0413-40BE-9172-311096DC2B5D}" name="Gender"/>
    <tableColumn id="9" xr3:uid="{4AD3D9EB-5E9E-42C1-86E6-80A2AE82E006}" name="Em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85D3B7-A389-4D07-A4EE-E95808266009}" name="Table14" displayName="Table14" ref="A1:Q151" totalsRowShown="0" headerRowDxfId="21" headerRowBorderDxfId="19" tableBorderDxfId="20">
  <autoFilter ref="A1:Q151" xr:uid="{F0711911-9C9A-45E7-96FC-FBBDBFA3D414}"/>
  <tableColumns count="17">
    <tableColumn id="1" xr3:uid="{6C26ECD9-D62F-41FF-9299-F9D4F44B84DF}" name="Employee ID"/>
    <tableColumn id="2" xr3:uid="{1B3732FE-F917-4A45-A305-607091E8A974}" name="Name"/>
    <tableColumn id="12" xr3:uid="{2101E1CB-8546-4942-A21B-95277A606011}" name="Name2">
      <calculatedColumnFormula>IF(Table14[[#This Row],[Name]]="","Unknown",Table14[[#This Row],[Name]])</calculatedColumnFormula>
    </tableColumn>
    <tableColumn id="3" xr3:uid="{1453DB13-1642-4E3B-AC8B-247CF51874BF}" name="Department"/>
    <tableColumn id="13" xr3:uid="{35B87D73-5457-4242-ADFE-C0EA30728E5C}" name="Department2">
      <calculatedColumnFormula>IF(Table14[[#This Row],[Department]]="","Unknown",Table14[[#This Row],[Department]])</calculatedColumnFormula>
    </tableColumn>
    <tableColumn id="4" xr3:uid="{B2CB6667-50AC-496F-9A1C-146F6987CC2F}" name="Country"/>
    <tableColumn id="15" xr3:uid="{C91537E5-A34B-4B71-BFFA-92DD454D9605}" name="Country2">
      <calculatedColumnFormula>IF(Table14[[#This Row],[Country]]="","Unknown",Table14[[#This Row],[Country]])</calculatedColumnFormula>
    </tableColumn>
    <tableColumn id="5" xr3:uid="{824AB2B8-9C87-43A9-AF07-F3E99A89069F}" name="Salary" dataDxfId="18"/>
    <tableColumn id="16" xr3:uid="{DD366C77-FA6F-484B-8578-ADBF8A41DE6F}" name="Salary2" dataDxfId="16">
      <calculatedColumnFormula>IF(Table14[[#This Row],[Salary]]="N/A",AVERAGEIF(Table14[Department2],Table14[[#This Row],[Department2]],Table14[Salary]),H2)</calculatedColumnFormula>
    </tableColumn>
    <tableColumn id="6" xr3:uid="{FDA28295-0018-4850-A419-49CA587E469E}" name="Date of Joining" dataDxfId="17"/>
    <tableColumn id="17" xr3:uid="{7DF79D10-2374-4392-9F11-24CDB2324E26}" name="Date Of Joining2" dataDxfId="15">
      <calculatedColumnFormula>IF(Table14[[#This Row],[Date of Joining]]="",MEDIAN(Table14[Date of Joining]),Table14[[#This Row],[Date of Joining]])</calculatedColumnFormula>
    </tableColumn>
    <tableColumn id="7" xr3:uid="{66F15D6D-E014-4D33-A159-9CCDF821762D}" name="Performance Rating" dataDxfId="13"/>
    <tableColumn id="18" xr3:uid="{E445A1D6-B9EB-4F18-B6CE-32E72E252B88}" name="Performance Rating2" dataDxfId="14">
      <calculatedColumnFormula>IF(Table14[[#This Row],[Performance Rating]]="",0,Table14[[#This Row],[Performance Rating]])</calculatedColumnFormula>
    </tableColumn>
    <tableColumn id="8" xr3:uid="{CED5C958-E661-4F20-8179-9F26E6F0073E}" name="Gender"/>
    <tableColumn id="20" xr3:uid="{E941B068-EF97-4703-86B8-12C72314F359}" name="Gender2">
      <calculatedColumnFormula>IF(Table14[[#This Row],[Gender]]="","Unknown",N2)</calculatedColumnFormula>
    </tableColumn>
    <tableColumn id="9" xr3:uid="{C39BA5CB-5A72-4A77-80E8-9F42CD5B2C57}" name="Email"/>
    <tableColumn id="21" xr3:uid="{179EFB14-3127-45DB-BB03-6834A878204C}" name="Email2">
      <calculatedColumnFormula>IF(Table14[[#This Row],[Email]]="invalid_email","Unknown",P2)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6E01B4-1B8C-41C1-BE65-6ACE6FD5745D}" name="Table4" displayName="Table4" ref="A1:I151" totalsRowShown="0" headerRowDxfId="0" headerRowBorderDxfId="11" tableBorderDxfId="12" totalsRowBorderDxfId="10">
  <autoFilter ref="A1:I151" xr:uid="{CF6E01B4-1B8C-41C1-BE65-6ACE6FD5745D}"/>
  <tableColumns count="9">
    <tableColumn id="1" xr3:uid="{C4B63C35-DED5-4F47-B132-437F2708938B}" name="Employee ID" dataDxfId="9"/>
    <tableColumn id="2" xr3:uid="{0E24F5F6-9E5C-43BD-A003-3B7A77458007}" name="Name" dataDxfId="8">
      <calculatedColumnFormula>IF(Table14[[#This Row],[Name]]="","Unknown",Table14[[#This Row],[Name]])</calculatedColumnFormula>
    </tableColumn>
    <tableColumn id="3" xr3:uid="{AE243385-A784-415C-9332-2B1CA4F406D3}" name="Department" dataDxfId="7">
      <calculatedColumnFormula>IF(Table14[[#This Row],[Department]]="","Unknown",Table14[[#This Row],[Department]])</calculatedColumnFormula>
    </tableColumn>
    <tableColumn id="4" xr3:uid="{0618127E-F780-4379-BDF3-21EB9D7F4B25}" name="Country" dataDxfId="6">
      <calculatedColumnFormula>IF(Table14[[#This Row],[Country]]="","Unknown",Table14[[#This Row],[Country]])</calculatedColumnFormula>
    </tableColumn>
    <tableColumn id="5" xr3:uid="{57475642-C4B6-409E-B972-7C8AEE3BD6AD}" name="Salary" dataDxfId="5"/>
    <tableColumn id="6" xr3:uid="{2AAC4A6D-942F-4E16-967D-7D1766845AAD}" name="Date Of Joining" dataDxfId="4">
      <calculatedColumnFormula>IF(Table14[[#This Row],[Date of Joining]]="",MEDIAN(Table14[Date of Joining]),Table14[[#This Row],[Date of Joining]])</calculatedColumnFormula>
    </tableColumn>
    <tableColumn id="7" xr3:uid="{F8F60697-F721-4F5D-B109-0DE1828E051B}" name="Performance Rating" dataDxfId="3">
      <calculatedColumnFormula>IF(Table14[[#This Row],[Performance Rating]]="",0,Table14[[#This Row],[Performance Rating]])</calculatedColumnFormula>
    </tableColumn>
    <tableColumn id="8" xr3:uid="{08D942CB-4F4A-416C-B9FE-F337A24690D3}" name="Gender" dataDxfId="2"/>
    <tableColumn id="9" xr3:uid="{466FCCB4-F08C-4497-879E-173A66A76784}" name="Email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1"/>
  <sheetViews>
    <sheetView workbookViewId="0">
      <selection activeCell="C1" sqref="C1:C1048576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7.77734375" bestFit="1" customWidth="1"/>
    <col min="4" max="4" width="13.5546875" bestFit="1" customWidth="1"/>
    <col min="5" max="5" width="11.77734375" style="3" bestFit="1" customWidth="1"/>
    <col min="6" max="6" width="20.109375" style="5" bestFit="1" customWidth="1"/>
    <col min="7" max="7" width="25.77734375" style="7" bestFit="1" customWidth="1"/>
    <col min="8" max="8" width="12.88671875" bestFit="1" customWidth="1"/>
    <col min="9" max="9" width="20.44140625" bestFit="1" customWidth="1"/>
    <col min="17" max="17" width="11" customWidth="1"/>
    <col min="18" max="18" width="14.21875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4" t="s">
        <v>5</v>
      </c>
      <c r="G1" s="6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166</v>
      </c>
      <c r="D2" t="s">
        <v>171</v>
      </c>
      <c r="E2" s="3" t="s">
        <v>177</v>
      </c>
      <c r="G2" s="7">
        <v>2</v>
      </c>
      <c r="H2" t="s">
        <v>178</v>
      </c>
      <c r="I2" t="s">
        <v>182</v>
      </c>
    </row>
    <row r="3" spans="1:9" x14ac:dyDescent="0.3">
      <c r="A3" t="s">
        <v>10</v>
      </c>
      <c r="B3" t="s">
        <v>159</v>
      </c>
      <c r="C3" t="s">
        <v>167</v>
      </c>
      <c r="D3" t="s">
        <v>172</v>
      </c>
      <c r="E3" s="3">
        <v>54255</v>
      </c>
      <c r="F3" s="5">
        <v>42015</v>
      </c>
      <c r="G3" s="7">
        <v>1</v>
      </c>
      <c r="H3" t="s">
        <v>179</v>
      </c>
      <c r="I3" t="s">
        <v>183</v>
      </c>
    </row>
    <row r="4" spans="1:9" x14ac:dyDescent="0.3">
      <c r="A4" t="s">
        <v>11</v>
      </c>
      <c r="B4" t="s">
        <v>160</v>
      </c>
      <c r="C4" t="s">
        <v>166</v>
      </c>
      <c r="D4" t="s">
        <v>172</v>
      </c>
      <c r="E4" s="3">
        <v>63184</v>
      </c>
      <c r="F4" s="5">
        <v>42022</v>
      </c>
      <c r="G4" s="7">
        <v>2</v>
      </c>
      <c r="I4" t="s">
        <v>184</v>
      </c>
    </row>
    <row r="5" spans="1:9" x14ac:dyDescent="0.3">
      <c r="A5" t="s">
        <v>12</v>
      </c>
      <c r="B5" t="s">
        <v>161</v>
      </c>
      <c r="C5" t="s">
        <v>168</v>
      </c>
      <c r="D5" t="s">
        <v>173</v>
      </c>
      <c r="E5" s="3">
        <v>94406</v>
      </c>
      <c r="F5" s="5">
        <v>42029</v>
      </c>
      <c r="G5" s="7">
        <v>1</v>
      </c>
      <c r="H5" t="s">
        <v>180</v>
      </c>
      <c r="I5" t="s">
        <v>185</v>
      </c>
    </row>
    <row r="6" spans="1:9" x14ac:dyDescent="0.3">
      <c r="A6" t="s">
        <v>13</v>
      </c>
      <c r="B6" t="s">
        <v>162</v>
      </c>
      <c r="C6" t="s">
        <v>168</v>
      </c>
      <c r="D6" t="s">
        <v>172</v>
      </c>
      <c r="E6" s="3">
        <v>64120</v>
      </c>
      <c r="F6" s="5">
        <v>42036</v>
      </c>
      <c r="G6" s="7">
        <v>1</v>
      </c>
      <c r="H6" t="s">
        <v>180</v>
      </c>
      <c r="I6" t="s">
        <v>186</v>
      </c>
    </row>
    <row r="7" spans="1:9" x14ac:dyDescent="0.3">
      <c r="A7" t="s">
        <v>14</v>
      </c>
      <c r="B7" t="s">
        <v>160</v>
      </c>
      <c r="C7" t="s">
        <v>169</v>
      </c>
      <c r="D7" t="s">
        <v>174</v>
      </c>
      <c r="E7" s="3">
        <v>78421</v>
      </c>
      <c r="F7" s="5">
        <v>42043</v>
      </c>
      <c r="G7" s="7">
        <v>2</v>
      </c>
      <c r="H7" t="s">
        <v>181</v>
      </c>
      <c r="I7" t="s">
        <v>187</v>
      </c>
    </row>
    <row r="8" spans="1:9" x14ac:dyDescent="0.3">
      <c r="A8" t="s">
        <v>15</v>
      </c>
      <c r="B8" t="s">
        <v>163</v>
      </c>
      <c r="C8" t="s">
        <v>168</v>
      </c>
      <c r="E8" s="3">
        <v>67721</v>
      </c>
      <c r="F8" s="5">
        <v>42050</v>
      </c>
      <c r="H8" t="s">
        <v>180</v>
      </c>
      <c r="I8" t="s">
        <v>185</v>
      </c>
    </row>
    <row r="9" spans="1:9" x14ac:dyDescent="0.3">
      <c r="A9" t="s">
        <v>16</v>
      </c>
      <c r="B9" t="s">
        <v>164</v>
      </c>
      <c r="C9" t="s">
        <v>170</v>
      </c>
      <c r="E9" s="3">
        <v>35364</v>
      </c>
      <c r="F9" s="5">
        <v>42057</v>
      </c>
      <c r="G9" s="7">
        <v>2</v>
      </c>
      <c r="H9" t="s">
        <v>179</v>
      </c>
      <c r="I9" t="s">
        <v>188</v>
      </c>
    </row>
    <row r="10" spans="1:9" x14ac:dyDescent="0.3">
      <c r="A10" t="s">
        <v>17</v>
      </c>
      <c r="B10" t="s">
        <v>160</v>
      </c>
      <c r="C10" t="s">
        <v>169</v>
      </c>
      <c r="D10" t="s">
        <v>172</v>
      </c>
      <c r="E10" s="3">
        <v>97881</v>
      </c>
      <c r="F10" s="5">
        <v>42064</v>
      </c>
      <c r="H10" t="s">
        <v>181</v>
      </c>
      <c r="I10" t="s">
        <v>189</v>
      </c>
    </row>
    <row r="11" spans="1:9" x14ac:dyDescent="0.3">
      <c r="A11" t="s">
        <v>18</v>
      </c>
      <c r="B11" t="s">
        <v>164</v>
      </c>
      <c r="C11" t="s">
        <v>167</v>
      </c>
      <c r="D11" t="s">
        <v>175</v>
      </c>
      <c r="E11" s="3">
        <v>91846</v>
      </c>
      <c r="F11" s="5">
        <v>42071</v>
      </c>
      <c r="H11" t="s">
        <v>180</v>
      </c>
      <c r="I11" t="s">
        <v>190</v>
      </c>
    </row>
    <row r="12" spans="1:9" x14ac:dyDescent="0.3">
      <c r="A12" t="s">
        <v>19</v>
      </c>
      <c r="B12" t="s">
        <v>163</v>
      </c>
      <c r="C12" t="s">
        <v>166</v>
      </c>
      <c r="D12" t="s">
        <v>175</v>
      </c>
      <c r="E12" s="3">
        <v>64247</v>
      </c>
      <c r="F12" s="5">
        <v>42078</v>
      </c>
      <c r="G12" s="7">
        <v>1</v>
      </c>
      <c r="H12" t="s">
        <v>181</v>
      </c>
      <c r="I12" t="s">
        <v>191</v>
      </c>
    </row>
    <row r="13" spans="1:9" x14ac:dyDescent="0.3">
      <c r="A13" t="s">
        <v>20</v>
      </c>
      <c r="B13" t="s">
        <v>163</v>
      </c>
      <c r="C13" t="s">
        <v>169</v>
      </c>
      <c r="D13" t="s">
        <v>173</v>
      </c>
      <c r="E13" s="3">
        <v>91180</v>
      </c>
      <c r="F13" s="5">
        <v>42085</v>
      </c>
      <c r="G13" s="7">
        <v>5</v>
      </c>
      <c r="H13" t="s">
        <v>180</v>
      </c>
      <c r="I13" t="s">
        <v>192</v>
      </c>
    </row>
    <row r="14" spans="1:9" x14ac:dyDescent="0.3">
      <c r="A14" t="s">
        <v>21</v>
      </c>
      <c r="B14" t="s">
        <v>165</v>
      </c>
      <c r="C14" t="s">
        <v>168</v>
      </c>
      <c r="E14" s="3">
        <v>96418</v>
      </c>
      <c r="F14" s="5">
        <v>42092</v>
      </c>
      <c r="G14" s="7">
        <v>5</v>
      </c>
      <c r="H14" t="s">
        <v>180</v>
      </c>
      <c r="I14" t="s">
        <v>183</v>
      </c>
    </row>
    <row r="15" spans="1:9" x14ac:dyDescent="0.3">
      <c r="A15" t="s">
        <v>22</v>
      </c>
      <c r="B15" t="s">
        <v>163</v>
      </c>
      <c r="D15" t="s">
        <v>174</v>
      </c>
      <c r="E15" s="3">
        <v>62158</v>
      </c>
      <c r="F15" s="5">
        <v>42099</v>
      </c>
      <c r="G15" s="7">
        <v>4</v>
      </c>
      <c r="I15" t="s">
        <v>193</v>
      </c>
    </row>
    <row r="16" spans="1:9" x14ac:dyDescent="0.3">
      <c r="A16" t="s">
        <v>23</v>
      </c>
      <c r="B16" t="s">
        <v>162</v>
      </c>
      <c r="C16" t="s">
        <v>167</v>
      </c>
      <c r="E16" s="3">
        <v>59894</v>
      </c>
      <c r="F16" s="5">
        <v>42106</v>
      </c>
      <c r="G16" s="7">
        <v>2</v>
      </c>
      <c r="H16" t="s">
        <v>180</v>
      </c>
      <c r="I16" t="s">
        <v>194</v>
      </c>
    </row>
    <row r="17" spans="1:9" x14ac:dyDescent="0.3">
      <c r="A17" t="s">
        <v>24</v>
      </c>
      <c r="C17" t="s">
        <v>169</v>
      </c>
      <c r="D17" t="s">
        <v>174</v>
      </c>
      <c r="E17" s="3">
        <v>92443</v>
      </c>
      <c r="F17" s="5">
        <v>42113</v>
      </c>
      <c r="G17" s="7">
        <v>3</v>
      </c>
      <c r="H17" t="s">
        <v>179</v>
      </c>
      <c r="I17" t="s">
        <v>195</v>
      </c>
    </row>
    <row r="18" spans="1:9" x14ac:dyDescent="0.3">
      <c r="A18" t="s">
        <v>25</v>
      </c>
      <c r="B18" t="s">
        <v>165</v>
      </c>
      <c r="D18" t="s">
        <v>172</v>
      </c>
      <c r="E18" s="3">
        <v>90271</v>
      </c>
      <c r="F18" s="5">
        <v>42120</v>
      </c>
      <c r="I18" t="s">
        <v>196</v>
      </c>
    </row>
    <row r="19" spans="1:9" x14ac:dyDescent="0.3">
      <c r="A19" t="s">
        <v>26</v>
      </c>
      <c r="B19" t="s">
        <v>162</v>
      </c>
      <c r="C19" t="s">
        <v>166</v>
      </c>
      <c r="D19" t="s">
        <v>176</v>
      </c>
      <c r="E19" s="3">
        <v>41341</v>
      </c>
      <c r="F19" s="5">
        <v>42127</v>
      </c>
      <c r="G19" s="7">
        <v>1</v>
      </c>
      <c r="H19" t="s">
        <v>179</v>
      </c>
      <c r="I19" t="s">
        <v>197</v>
      </c>
    </row>
    <row r="20" spans="1:9" x14ac:dyDescent="0.3">
      <c r="A20" t="s">
        <v>27</v>
      </c>
      <c r="B20" t="s">
        <v>160</v>
      </c>
      <c r="C20" t="s">
        <v>166</v>
      </c>
      <c r="D20" t="s">
        <v>175</v>
      </c>
      <c r="E20" s="3">
        <v>73602</v>
      </c>
      <c r="F20" s="5">
        <v>42134</v>
      </c>
      <c r="I20" t="s">
        <v>198</v>
      </c>
    </row>
    <row r="21" spans="1:9" x14ac:dyDescent="0.3">
      <c r="A21" t="s">
        <v>28</v>
      </c>
      <c r="B21" t="s">
        <v>159</v>
      </c>
      <c r="D21" t="s">
        <v>174</v>
      </c>
      <c r="E21" s="3">
        <v>67531</v>
      </c>
      <c r="F21" s="5">
        <v>42141</v>
      </c>
      <c r="G21" s="7">
        <v>5</v>
      </c>
      <c r="H21" t="s">
        <v>181</v>
      </c>
      <c r="I21" t="s">
        <v>199</v>
      </c>
    </row>
    <row r="22" spans="1:9" x14ac:dyDescent="0.3">
      <c r="A22" t="s">
        <v>29</v>
      </c>
      <c r="B22" t="s">
        <v>162</v>
      </c>
      <c r="C22" t="s">
        <v>167</v>
      </c>
      <c r="D22" t="s">
        <v>173</v>
      </c>
      <c r="E22" s="3" t="s">
        <v>177</v>
      </c>
      <c r="F22" s="5">
        <v>42148</v>
      </c>
      <c r="G22" s="7">
        <v>2</v>
      </c>
      <c r="H22" t="s">
        <v>179</v>
      </c>
      <c r="I22" t="s">
        <v>200</v>
      </c>
    </row>
    <row r="23" spans="1:9" x14ac:dyDescent="0.3">
      <c r="A23" t="s">
        <v>30</v>
      </c>
      <c r="B23" t="s">
        <v>162</v>
      </c>
      <c r="C23" t="s">
        <v>167</v>
      </c>
      <c r="E23" s="3">
        <v>98922</v>
      </c>
      <c r="F23" s="5">
        <v>42155</v>
      </c>
      <c r="G23" s="7">
        <v>4</v>
      </c>
      <c r="I23" t="s">
        <v>201</v>
      </c>
    </row>
    <row r="24" spans="1:9" x14ac:dyDescent="0.3">
      <c r="A24" t="s">
        <v>31</v>
      </c>
      <c r="B24" t="s">
        <v>159</v>
      </c>
      <c r="C24" t="s">
        <v>166</v>
      </c>
      <c r="D24" t="s">
        <v>174</v>
      </c>
      <c r="E24" s="3">
        <v>38333</v>
      </c>
      <c r="F24" s="5">
        <v>42162</v>
      </c>
      <c r="G24" s="7">
        <v>5</v>
      </c>
      <c r="I24" t="s">
        <v>202</v>
      </c>
    </row>
    <row r="25" spans="1:9" x14ac:dyDescent="0.3">
      <c r="A25" t="s">
        <v>32</v>
      </c>
      <c r="B25" t="s">
        <v>160</v>
      </c>
      <c r="C25" t="s">
        <v>170</v>
      </c>
      <c r="D25" t="s">
        <v>175</v>
      </c>
      <c r="E25" s="3">
        <v>36515</v>
      </c>
      <c r="F25" s="5">
        <v>42169</v>
      </c>
      <c r="G25" s="7">
        <v>3</v>
      </c>
      <c r="H25" t="s">
        <v>180</v>
      </c>
      <c r="I25" t="s">
        <v>203</v>
      </c>
    </row>
    <row r="26" spans="1:9" x14ac:dyDescent="0.3">
      <c r="A26" t="s">
        <v>33</v>
      </c>
      <c r="B26" t="s">
        <v>163</v>
      </c>
      <c r="C26" t="s">
        <v>166</v>
      </c>
      <c r="E26" s="3">
        <v>91005</v>
      </c>
      <c r="F26" s="5">
        <v>42176</v>
      </c>
      <c r="G26" s="7">
        <v>1</v>
      </c>
      <c r="H26" t="s">
        <v>179</v>
      </c>
      <c r="I26" t="s">
        <v>204</v>
      </c>
    </row>
    <row r="27" spans="1:9" x14ac:dyDescent="0.3">
      <c r="A27" t="s">
        <v>34</v>
      </c>
      <c r="B27" t="s">
        <v>164</v>
      </c>
      <c r="D27" t="s">
        <v>171</v>
      </c>
      <c r="E27" s="3">
        <v>52272</v>
      </c>
      <c r="F27" s="5">
        <v>42183</v>
      </c>
      <c r="G27" s="7">
        <v>3</v>
      </c>
      <c r="I27" t="s">
        <v>205</v>
      </c>
    </row>
    <row r="28" spans="1:9" x14ac:dyDescent="0.3">
      <c r="A28" t="s">
        <v>35</v>
      </c>
      <c r="B28" t="s">
        <v>159</v>
      </c>
      <c r="C28" t="s">
        <v>168</v>
      </c>
      <c r="D28" t="s">
        <v>172</v>
      </c>
      <c r="E28" s="3">
        <v>76518</v>
      </c>
      <c r="F28" s="5">
        <v>42190</v>
      </c>
      <c r="G28" s="7">
        <v>2</v>
      </c>
      <c r="H28" t="s">
        <v>181</v>
      </c>
      <c r="I28" t="s">
        <v>206</v>
      </c>
    </row>
    <row r="29" spans="1:9" x14ac:dyDescent="0.3">
      <c r="A29" t="s">
        <v>36</v>
      </c>
      <c r="B29" t="s">
        <v>160</v>
      </c>
      <c r="C29" t="s">
        <v>169</v>
      </c>
      <c r="D29" t="s">
        <v>175</v>
      </c>
      <c r="E29" s="3">
        <v>41448</v>
      </c>
      <c r="F29" s="5">
        <v>42197</v>
      </c>
      <c r="G29" s="7">
        <v>3</v>
      </c>
      <c r="H29" t="s">
        <v>179</v>
      </c>
      <c r="I29" t="s">
        <v>207</v>
      </c>
    </row>
    <row r="30" spans="1:9" x14ac:dyDescent="0.3">
      <c r="A30" t="s">
        <v>37</v>
      </c>
      <c r="B30" t="s">
        <v>161</v>
      </c>
      <c r="C30" t="s">
        <v>167</v>
      </c>
      <c r="D30" t="s">
        <v>175</v>
      </c>
      <c r="E30" s="3">
        <v>49282</v>
      </c>
      <c r="F30" s="5">
        <v>42204</v>
      </c>
      <c r="G30" s="7">
        <v>2</v>
      </c>
      <c r="H30" t="s">
        <v>181</v>
      </c>
      <c r="I30" t="s">
        <v>208</v>
      </c>
    </row>
    <row r="31" spans="1:9" x14ac:dyDescent="0.3">
      <c r="A31" t="s">
        <v>38</v>
      </c>
      <c r="B31" t="s">
        <v>165</v>
      </c>
      <c r="C31" t="s">
        <v>170</v>
      </c>
      <c r="D31" t="s">
        <v>175</v>
      </c>
      <c r="E31" s="3">
        <v>92959</v>
      </c>
      <c r="F31" s="5">
        <v>42211</v>
      </c>
      <c r="G31" s="7">
        <v>5</v>
      </c>
      <c r="I31" t="s">
        <v>209</v>
      </c>
    </row>
    <row r="32" spans="1:9" x14ac:dyDescent="0.3">
      <c r="A32" t="s">
        <v>39</v>
      </c>
      <c r="C32" t="s">
        <v>170</v>
      </c>
      <c r="E32" s="3">
        <v>92259</v>
      </c>
      <c r="G32" s="7">
        <v>1</v>
      </c>
      <c r="H32" t="s">
        <v>178</v>
      </c>
      <c r="I32" t="s">
        <v>210</v>
      </c>
    </row>
    <row r="33" spans="1:9" x14ac:dyDescent="0.3">
      <c r="A33" t="s">
        <v>40</v>
      </c>
      <c r="B33" t="s">
        <v>159</v>
      </c>
      <c r="C33" t="s">
        <v>167</v>
      </c>
      <c r="D33" t="s">
        <v>172</v>
      </c>
      <c r="E33" s="3">
        <v>92299</v>
      </c>
      <c r="F33" s="5">
        <v>42225</v>
      </c>
      <c r="G33" s="7">
        <v>3</v>
      </c>
      <c r="H33" t="s">
        <v>180</v>
      </c>
      <c r="I33" t="s">
        <v>211</v>
      </c>
    </row>
    <row r="34" spans="1:9" x14ac:dyDescent="0.3">
      <c r="A34" t="s">
        <v>41</v>
      </c>
      <c r="B34" t="s">
        <v>163</v>
      </c>
      <c r="C34" t="s">
        <v>167</v>
      </c>
      <c r="E34" s="3">
        <v>95586</v>
      </c>
      <c r="F34" s="5">
        <v>42232</v>
      </c>
      <c r="G34" s="7">
        <v>3</v>
      </c>
      <c r="H34" t="s">
        <v>179</v>
      </c>
      <c r="I34" t="s">
        <v>212</v>
      </c>
    </row>
    <row r="35" spans="1:9" x14ac:dyDescent="0.3">
      <c r="A35" t="s">
        <v>42</v>
      </c>
      <c r="B35" t="s">
        <v>164</v>
      </c>
      <c r="D35" t="s">
        <v>173</v>
      </c>
      <c r="E35" s="3">
        <v>95367</v>
      </c>
      <c r="F35" s="5">
        <v>42239</v>
      </c>
      <c r="H35" t="s">
        <v>180</v>
      </c>
      <c r="I35" t="s">
        <v>213</v>
      </c>
    </row>
    <row r="36" spans="1:9" x14ac:dyDescent="0.3">
      <c r="A36" t="s">
        <v>43</v>
      </c>
      <c r="B36" t="s">
        <v>161</v>
      </c>
      <c r="C36" t="s">
        <v>168</v>
      </c>
      <c r="D36" t="s">
        <v>176</v>
      </c>
      <c r="E36" s="3">
        <v>79549</v>
      </c>
      <c r="F36" s="5">
        <v>42246</v>
      </c>
      <c r="G36" s="7">
        <v>3</v>
      </c>
      <c r="I36" t="s">
        <v>214</v>
      </c>
    </row>
    <row r="37" spans="1:9" x14ac:dyDescent="0.3">
      <c r="A37" t="s">
        <v>44</v>
      </c>
      <c r="B37" t="s">
        <v>160</v>
      </c>
      <c r="D37" t="s">
        <v>175</v>
      </c>
      <c r="E37" s="3">
        <v>54463</v>
      </c>
      <c r="F37" s="5">
        <v>42253</v>
      </c>
      <c r="G37" s="7">
        <v>4</v>
      </c>
      <c r="H37" t="s">
        <v>180</v>
      </c>
      <c r="I37" t="s">
        <v>182</v>
      </c>
    </row>
    <row r="38" spans="1:9" x14ac:dyDescent="0.3">
      <c r="A38" t="s">
        <v>45</v>
      </c>
      <c r="B38" t="s">
        <v>160</v>
      </c>
      <c r="C38" t="s">
        <v>169</v>
      </c>
      <c r="D38" t="s">
        <v>173</v>
      </c>
      <c r="E38" s="3">
        <v>89781</v>
      </c>
      <c r="F38" s="5">
        <v>42260</v>
      </c>
      <c r="H38" t="s">
        <v>181</v>
      </c>
      <c r="I38" t="s">
        <v>215</v>
      </c>
    </row>
    <row r="39" spans="1:9" x14ac:dyDescent="0.3">
      <c r="A39" t="s">
        <v>46</v>
      </c>
      <c r="B39" t="s">
        <v>160</v>
      </c>
      <c r="C39" t="s">
        <v>167</v>
      </c>
      <c r="E39" s="3">
        <v>64796</v>
      </c>
      <c r="F39" s="5">
        <v>42267</v>
      </c>
      <c r="H39" t="s">
        <v>179</v>
      </c>
      <c r="I39" t="s">
        <v>216</v>
      </c>
    </row>
    <row r="40" spans="1:9" x14ac:dyDescent="0.3">
      <c r="A40" t="s">
        <v>47</v>
      </c>
      <c r="B40" t="s">
        <v>161</v>
      </c>
      <c r="C40" t="s">
        <v>170</v>
      </c>
      <c r="D40" t="s">
        <v>175</v>
      </c>
      <c r="E40" s="3">
        <v>52093</v>
      </c>
      <c r="F40" s="5">
        <v>42274</v>
      </c>
      <c r="G40" s="7">
        <v>5</v>
      </c>
      <c r="I40" t="s">
        <v>217</v>
      </c>
    </row>
    <row r="41" spans="1:9" x14ac:dyDescent="0.3">
      <c r="A41" t="s">
        <v>48</v>
      </c>
      <c r="B41" t="s">
        <v>164</v>
      </c>
      <c r="C41" t="s">
        <v>167</v>
      </c>
      <c r="D41" t="s">
        <v>175</v>
      </c>
      <c r="E41" s="3">
        <v>48224</v>
      </c>
      <c r="F41" s="5">
        <v>42281</v>
      </c>
      <c r="G41" s="7">
        <v>3</v>
      </c>
      <c r="I41" t="s">
        <v>218</v>
      </c>
    </row>
    <row r="42" spans="1:9" x14ac:dyDescent="0.3">
      <c r="A42" t="s">
        <v>49</v>
      </c>
      <c r="B42" t="s">
        <v>165</v>
      </c>
      <c r="C42" t="s">
        <v>166</v>
      </c>
      <c r="D42" t="s">
        <v>175</v>
      </c>
      <c r="E42" s="3" t="s">
        <v>177</v>
      </c>
      <c r="G42" s="7">
        <v>4</v>
      </c>
      <c r="H42" t="s">
        <v>181</v>
      </c>
      <c r="I42" t="s">
        <v>219</v>
      </c>
    </row>
    <row r="43" spans="1:9" x14ac:dyDescent="0.3">
      <c r="A43" t="s">
        <v>50</v>
      </c>
      <c r="B43" t="s">
        <v>160</v>
      </c>
      <c r="C43" t="s">
        <v>169</v>
      </c>
      <c r="D43" t="s">
        <v>172</v>
      </c>
      <c r="E43" s="3">
        <v>33956</v>
      </c>
      <c r="F43" s="5">
        <v>42295</v>
      </c>
      <c r="I43" t="s">
        <v>220</v>
      </c>
    </row>
    <row r="44" spans="1:9" x14ac:dyDescent="0.3">
      <c r="A44" t="s">
        <v>51</v>
      </c>
      <c r="B44" t="s">
        <v>165</v>
      </c>
      <c r="D44" t="s">
        <v>176</v>
      </c>
      <c r="E44" s="3">
        <v>64913</v>
      </c>
      <c r="F44" s="5">
        <v>42302</v>
      </c>
      <c r="G44" s="7">
        <v>1</v>
      </c>
      <c r="H44" t="s">
        <v>181</v>
      </c>
      <c r="I44" t="s">
        <v>221</v>
      </c>
    </row>
    <row r="45" spans="1:9" x14ac:dyDescent="0.3">
      <c r="A45" t="s">
        <v>52</v>
      </c>
      <c r="B45" t="s">
        <v>160</v>
      </c>
      <c r="C45" t="s">
        <v>170</v>
      </c>
      <c r="D45" t="s">
        <v>176</v>
      </c>
      <c r="E45" s="3">
        <v>35326</v>
      </c>
      <c r="F45" s="5">
        <v>42309</v>
      </c>
      <c r="H45" t="s">
        <v>181</v>
      </c>
      <c r="I45" t="s">
        <v>222</v>
      </c>
    </row>
    <row r="46" spans="1:9" x14ac:dyDescent="0.3">
      <c r="A46" t="s">
        <v>53</v>
      </c>
      <c r="B46" t="s">
        <v>164</v>
      </c>
      <c r="C46" t="s">
        <v>166</v>
      </c>
      <c r="E46" s="3">
        <v>81610</v>
      </c>
      <c r="F46" s="5">
        <v>42316</v>
      </c>
      <c r="G46" s="7">
        <v>1</v>
      </c>
      <c r="I46" t="s">
        <v>223</v>
      </c>
    </row>
    <row r="47" spans="1:9" x14ac:dyDescent="0.3">
      <c r="A47" t="s">
        <v>54</v>
      </c>
      <c r="C47" t="s">
        <v>167</v>
      </c>
      <c r="E47" s="3">
        <v>58962</v>
      </c>
      <c r="F47" s="5">
        <v>42323</v>
      </c>
      <c r="G47" s="7">
        <v>3</v>
      </c>
      <c r="H47" t="s">
        <v>179</v>
      </c>
      <c r="I47" t="s">
        <v>183</v>
      </c>
    </row>
    <row r="48" spans="1:9" x14ac:dyDescent="0.3">
      <c r="A48" t="s">
        <v>55</v>
      </c>
      <c r="B48" t="s">
        <v>164</v>
      </c>
      <c r="C48" t="s">
        <v>169</v>
      </c>
      <c r="D48" t="s">
        <v>172</v>
      </c>
      <c r="E48" s="3">
        <v>92701</v>
      </c>
      <c r="F48" s="5">
        <v>42330</v>
      </c>
      <c r="G48" s="7">
        <v>3</v>
      </c>
      <c r="H48" t="s">
        <v>179</v>
      </c>
      <c r="I48" t="s">
        <v>224</v>
      </c>
    </row>
    <row r="49" spans="1:9" x14ac:dyDescent="0.3">
      <c r="A49" t="s">
        <v>56</v>
      </c>
      <c r="B49" t="s">
        <v>164</v>
      </c>
      <c r="C49" t="s">
        <v>167</v>
      </c>
      <c r="D49" t="s">
        <v>174</v>
      </c>
      <c r="E49" s="3">
        <v>58245</v>
      </c>
      <c r="F49" s="5">
        <v>42337</v>
      </c>
      <c r="G49" s="7">
        <v>4</v>
      </c>
      <c r="I49" t="s">
        <v>225</v>
      </c>
    </row>
    <row r="50" spans="1:9" x14ac:dyDescent="0.3">
      <c r="A50" t="s">
        <v>57</v>
      </c>
      <c r="B50" t="s">
        <v>161</v>
      </c>
      <c r="C50" t="s">
        <v>166</v>
      </c>
      <c r="E50" s="3">
        <v>66513</v>
      </c>
      <c r="F50" s="5">
        <v>42344</v>
      </c>
      <c r="G50" s="7">
        <v>2</v>
      </c>
      <c r="H50" t="s">
        <v>179</v>
      </c>
      <c r="I50" t="s">
        <v>187</v>
      </c>
    </row>
    <row r="51" spans="1:9" x14ac:dyDescent="0.3">
      <c r="A51" t="s">
        <v>58</v>
      </c>
      <c r="B51" t="s">
        <v>159</v>
      </c>
      <c r="C51" t="s">
        <v>167</v>
      </c>
      <c r="D51" t="s">
        <v>172</v>
      </c>
      <c r="E51" s="3">
        <v>78720</v>
      </c>
      <c r="F51" s="5">
        <v>42351</v>
      </c>
      <c r="G51" s="7">
        <v>5</v>
      </c>
      <c r="H51" t="s">
        <v>181</v>
      </c>
      <c r="I51" t="s">
        <v>219</v>
      </c>
    </row>
    <row r="52" spans="1:9" x14ac:dyDescent="0.3">
      <c r="A52" t="s">
        <v>59</v>
      </c>
      <c r="B52" t="s">
        <v>164</v>
      </c>
      <c r="D52" t="s">
        <v>171</v>
      </c>
      <c r="E52" s="3">
        <v>30686</v>
      </c>
      <c r="G52" s="7">
        <v>2</v>
      </c>
      <c r="H52" t="s">
        <v>181</v>
      </c>
      <c r="I52" t="s">
        <v>226</v>
      </c>
    </row>
    <row r="53" spans="1:9" x14ac:dyDescent="0.3">
      <c r="A53" t="s">
        <v>60</v>
      </c>
      <c r="B53" t="s">
        <v>163</v>
      </c>
      <c r="C53" t="s">
        <v>168</v>
      </c>
      <c r="D53" t="s">
        <v>174</v>
      </c>
      <c r="E53" s="3">
        <v>39423</v>
      </c>
      <c r="F53" s="5">
        <v>42365</v>
      </c>
      <c r="G53" s="7">
        <v>5</v>
      </c>
      <c r="I53" t="s">
        <v>227</v>
      </c>
    </row>
    <row r="54" spans="1:9" x14ac:dyDescent="0.3">
      <c r="A54" t="s">
        <v>61</v>
      </c>
      <c r="B54" t="s">
        <v>159</v>
      </c>
      <c r="C54" t="s">
        <v>170</v>
      </c>
      <c r="E54" s="3">
        <v>30280</v>
      </c>
      <c r="F54" s="5">
        <v>42372</v>
      </c>
      <c r="G54" s="7">
        <v>1</v>
      </c>
      <c r="I54" t="s">
        <v>228</v>
      </c>
    </row>
    <row r="55" spans="1:9" x14ac:dyDescent="0.3">
      <c r="A55" t="s">
        <v>62</v>
      </c>
      <c r="B55" t="s">
        <v>159</v>
      </c>
      <c r="C55" t="s">
        <v>166</v>
      </c>
      <c r="D55" t="s">
        <v>175</v>
      </c>
      <c r="E55" s="3">
        <v>33352</v>
      </c>
      <c r="F55" s="5">
        <v>42379</v>
      </c>
      <c r="G55" s="7">
        <v>3</v>
      </c>
      <c r="H55" t="s">
        <v>181</v>
      </c>
      <c r="I55" t="s">
        <v>200</v>
      </c>
    </row>
    <row r="56" spans="1:9" x14ac:dyDescent="0.3">
      <c r="A56" t="s">
        <v>63</v>
      </c>
      <c r="B56" t="s">
        <v>165</v>
      </c>
      <c r="C56" t="s">
        <v>170</v>
      </c>
      <c r="D56" t="s">
        <v>175</v>
      </c>
      <c r="E56" s="3">
        <v>75633</v>
      </c>
      <c r="F56" s="5">
        <v>42386</v>
      </c>
      <c r="G56" s="7">
        <v>5</v>
      </c>
      <c r="H56" t="s">
        <v>179</v>
      </c>
      <c r="I56" t="s">
        <v>229</v>
      </c>
    </row>
    <row r="57" spans="1:9" x14ac:dyDescent="0.3">
      <c r="A57" t="s">
        <v>64</v>
      </c>
      <c r="B57" t="s">
        <v>164</v>
      </c>
      <c r="D57" t="s">
        <v>173</v>
      </c>
      <c r="E57" s="3">
        <v>74815</v>
      </c>
      <c r="F57" s="5">
        <v>42393</v>
      </c>
      <c r="G57" s="7">
        <v>5</v>
      </c>
      <c r="H57" t="s">
        <v>181</v>
      </c>
      <c r="I57" t="s">
        <v>230</v>
      </c>
    </row>
    <row r="58" spans="1:9" x14ac:dyDescent="0.3">
      <c r="A58" t="s">
        <v>65</v>
      </c>
      <c r="B58" t="s">
        <v>161</v>
      </c>
      <c r="C58" t="s">
        <v>168</v>
      </c>
      <c r="D58" t="s">
        <v>176</v>
      </c>
      <c r="E58" s="3">
        <v>60011</v>
      </c>
      <c r="F58" s="5">
        <v>42400</v>
      </c>
      <c r="G58" s="7">
        <v>1</v>
      </c>
      <c r="H58" t="s">
        <v>180</v>
      </c>
      <c r="I58" t="s">
        <v>231</v>
      </c>
    </row>
    <row r="59" spans="1:9" x14ac:dyDescent="0.3">
      <c r="A59" t="s">
        <v>66</v>
      </c>
      <c r="B59" t="s">
        <v>159</v>
      </c>
      <c r="D59" t="s">
        <v>174</v>
      </c>
      <c r="E59" s="3">
        <v>96949</v>
      </c>
      <c r="F59" s="5">
        <v>42407</v>
      </c>
      <c r="G59" s="7">
        <v>3</v>
      </c>
      <c r="I59" t="s">
        <v>207</v>
      </c>
    </row>
    <row r="60" spans="1:9" x14ac:dyDescent="0.3">
      <c r="A60" t="s">
        <v>67</v>
      </c>
      <c r="B60" t="s">
        <v>163</v>
      </c>
      <c r="C60" t="s">
        <v>170</v>
      </c>
      <c r="E60" s="3">
        <v>84924</v>
      </c>
      <c r="F60" s="5">
        <v>42414</v>
      </c>
      <c r="G60" s="7">
        <v>5</v>
      </c>
      <c r="H60" t="s">
        <v>180</v>
      </c>
      <c r="I60" t="s">
        <v>232</v>
      </c>
    </row>
    <row r="61" spans="1:9" x14ac:dyDescent="0.3">
      <c r="A61" t="s">
        <v>68</v>
      </c>
      <c r="B61" t="s">
        <v>163</v>
      </c>
      <c r="C61" t="s">
        <v>166</v>
      </c>
      <c r="D61" t="s">
        <v>173</v>
      </c>
      <c r="E61" s="3">
        <v>82033</v>
      </c>
      <c r="F61" s="5">
        <v>42421</v>
      </c>
      <c r="G61" s="7">
        <v>1</v>
      </c>
      <c r="I61" t="s">
        <v>223</v>
      </c>
    </row>
    <row r="62" spans="1:9" x14ac:dyDescent="0.3">
      <c r="A62" t="s">
        <v>69</v>
      </c>
      <c r="C62" t="s">
        <v>170</v>
      </c>
      <c r="D62" t="s">
        <v>172</v>
      </c>
      <c r="E62" s="3" t="s">
        <v>177</v>
      </c>
      <c r="G62" s="7">
        <v>5</v>
      </c>
      <c r="H62" t="s">
        <v>178</v>
      </c>
      <c r="I62" t="s">
        <v>233</v>
      </c>
    </row>
    <row r="63" spans="1:9" x14ac:dyDescent="0.3">
      <c r="A63" t="s">
        <v>70</v>
      </c>
      <c r="B63" t="s">
        <v>159</v>
      </c>
      <c r="D63" t="s">
        <v>176</v>
      </c>
      <c r="E63" s="3">
        <v>31499</v>
      </c>
      <c r="F63" s="5">
        <v>42435</v>
      </c>
      <c r="G63" s="7">
        <v>2</v>
      </c>
      <c r="I63" t="s">
        <v>215</v>
      </c>
    </row>
    <row r="64" spans="1:9" x14ac:dyDescent="0.3">
      <c r="A64" t="s">
        <v>71</v>
      </c>
      <c r="B64" t="s">
        <v>164</v>
      </c>
      <c r="C64" t="s">
        <v>169</v>
      </c>
      <c r="D64" t="s">
        <v>175</v>
      </c>
      <c r="E64" s="3">
        <v>97981</v>
      </c>
      <c r="F64" s="5">
        <v>42442</v>
      </c>
      <c r="G64" s="7">
        <v>5</v>
      </c>
      <c r="H64" t="s">
        <v>181</v>
      </c>
      <c r="I64" t="s">
        <v>234</v>
      </c>
    </row>
    <row r="65" spans="1:9" x14ac:dyDescent="0.3">
      <c r="A65" t="s">
        <v>72</v>
      </c>
      <c r="B65" t="s">
        <v>159</v>
      </c>
      <c r="C65" t="s">
        <v>167</v>
      </c>
      <c r="D65" t="s">
        <v>173</v>
      </c>
      <c r="E65" s="3">
        <v>36541</v>
      </c>
      <c r="F65" s="5">
        <v>42449</v>
      </c>
      <c r="G65" s="7">
        <v>2</v>
      </c>
      <c r="H65" t="s">
        <v>179</v>
      </c>
      <c r="I65" t="s">
        <v>235</v>
      </c>
    </row>
    <row r="66" spans="1:9" x14ac:dyDescent="0.3">
      <c r="A66" t="s">
        <v>73</v>
      </c>
      <c r="B66" t="s">
        <v>161</v>
      </c>
      <c r="C66" t="s">
        <v>169</v>
      </c>
      <c r="D66" t="s">
        <v>174</v>
      </c>
      <c r="E66" s="3">
        <v>84737</v>
      </c>
      <c r="F66" s="5">
        <v>42456</v>
      </c>
      <c r="G66" s="7">
        <v>1</v>
      </c>
      <c r="H66" t="s">
        <v>180</v>
      </c>
      <c r="I66" t="s">
        <v>236</v>
      </c>
    </row>
    <row r="67" spans="1:9" x14ac:dyDescent="0.3">
      <c r="A67" t="s">
        <v>74</v>
      </c>
      <c r="B67" t="s">
        <v>163</v>
      </c>
      <c r="C67" t="s">
        <v>166</v>
      </c>
      <c r="D67" t="s">
        <v>174</v>
      </c>
      <c r="E67" s="3">
        <v>33468</v>
      </c>
      <c r="F67" s="5">
        <v>42463</v>
      </c>
      <c r="G67" s="7">
        <v>4</v>
      </c>
      <c r="H67" t="s">
        <v>180</v>
      </c>
      <c r="I67" t="s">
        <v>237</v>
      </c>
    </row>
    <row r="68" spans="1:9" x14ac:dyDescent="0.3">
      <c r="A68" t="s">
        <v>75</v>
      </c>
      <c r="B68" t="s">
        <v>163</v>
      </c>
      <c r="D68" t="s">
        <v>176</v>
      </c>
      <c r="E68" s="3">
        <v>96365</v>
      </c>
      <c r="F68" s="5">
        <v>42470</v>
      </c>
      <c r="G68" s="7">
        <v>3</v>
      </c>
      <c r="H68" t="s">
        <v>179</v>
      </c>
      <c r="I68" t="s">
        <v>238</v>
      </c>
    </row>
    <row r="69" spans="1:9" x14ac:dyDescent="0.3">
      <c r="A69" t="s">
        <v>76</v>
      </c>
      <c r="B69" t="s">
        <v>160</v>
      </c>
      <c r="C69" t="s">
        <v>168</v>
      </c>
      <c r="D69" t="s">
        <v>174</v>
      </c>
      <c r="E69" s="3">
        <v>61942</v>
      </c>
      <c r="F69" s="5">
        <v>42477</v>
      </c>
      <c r="G69" s="7">
        <v>3</v>
      </c>
      <c r="H69" t="s">
        <v>181</v>
      </c>
      <c r="I69" t="s">
        <v>239</v>
      </c>
    </row>
    <row r="70" spans="1:9" x14ac:dyDescent="0.3">
      <c r="A70" t="s">
        <v>77</v>
      </c>
      <c r="B70" t="s">
        <v>163</v>
      </c>
      <c r="C70" t="s">
        <v>166</v>
      </c>
      <c r="D70" t="s">
        <v>175</v>
      </c>
      <c r="E70" s="3">
        <v>41467</v>
      </c>
      <c r="F70" s="5">
        <v>42484</v>
      </c>
      <c r="G70" s="7">
        <v>2</v>
      </c>
      <c r="I70" t="s">
        <v>201</v>
      </c>
    </row>
    <row r="71" spans="1:9" x14ac:dyDescent="0.3">
      <c r="A71" t="s">
        <v>78</v>
      </c>
      <c r="B71" t="s">
        <v>165</v>
      </c>
      <c r="C71" t="s">
        <v>166</v>
      </c>
      <c r="D71" t="s">
        <v>174</v>
      </c>
      <c r="E71" s="3">
        <v>77096</v>
      </c>
      <c r="F71" s="5">
        <v>42491</v>
      </c>
      <c r="G71" s="7">
        <v>1</v>
      </c>
      <c r="I71" t="s">
        <v>240</v>
      </c>
    </row>
    <row r="72" spans="1:9" x14ac:dyDescent="0.3">
      <c r="A72" t="s">
        <v>79</v>
      </c>
      <c r="B72" t="s">
        <v>159</v>
      </c>
      <c r="C72" t="s">
        <v>168</v>
      </c>
      <c r="D72" t="s">
        <v>176</v>
      </c>
      <c r="E72" s="3">
        <v>69952</v>
      </c>
      <c r="F72" s="5">
        <v>42498</v>
      </c>
      <c r="G72" s="7">
        <v>5</v>
      </c>
      <c r="H72" t="s">
        <v>181</v>
      </c>
      <c r="I72" t="s">
        <v>182</v>
      </c>
    </row>
    <row r="73" spans="1:9" x14ac:dyDescent="0.3">
      <c r="A73" t="s">
        <v>80</v>
      </c>
      <c r="B73" t="s">
        <v>159</v>
      </c>
      <c r="C73" t="s">
        <v>170</v>
      </c>
      <c r="D73" t="s">
        <v>173</v>
      </c>
      <c r="E73" s="3">
        <v>85065</v>
      </c>
      <c r="F73" s="5">
        <v>42505</v>
      </c>
      <c r="G73" s="7">
        <v>3</v>
      </c>
      <c r="I73" t="s">
        <v>241</v>
      </c>
    </row>
    <row r="74" spans="1:9" x14ac:dyDescent="0.3">
      <c r="A74" t="s">
        <v>81</v>
      </c>
      <c r="B74" t="s">
        <v>165</v>
      </c>
      <c r="C74" t="s">
        <v>170</v>
      </c>
      <c r="D74" t="s">
        <v>174</v>
      </c>
      <c r="E74" s="3">
        <v>56512</v>
      </c>
      <c r="F74" s="5">
        <v>42512</v>
      </c>
      <c r="H74" t="s">
        <v>179</v>
      </c>
      <c r="I74" t="s">
        <v>190</v>
      </c>
    </row>
    <row r="75" spans="1:9" x14ac:dyDescent="0.3">
      <c r="A75" t="s">
        <v>82</v>
      </c>
      <c r="B75" t="s">
        <v>161</v>
      </c>
      <c r="C75" t="s">
        <v>168</v>
      </c>
      <c r="D75" t="s">
        <v>174</v>
      </c>
      <c r="E75" s="3">
        <v>91101</v>
      </c>
      <c r="F75" s="5">
        <v>42519</v>
      </c>
      <c r="G75" s="7">
        <v>4</v>
      </c>
      <c r="H75" t="s">
        <v>181</v>
      </c>
      <c r="I75" t="s">
        <v>234</v>
      </c>
    </row>
    <row r="76" spans="1:9" x14ac:dyDescent="0.3">
      <c r="A76" t="s">
        <v>83</v>
      </c>
      <c r="B76" t="s">
        <v>163</v>
      </c>
      <c r="D76" t="s">
        <v>172</v>
      </c>
      <c r="E76" s="3">
        <v>41243</v>
      </c>
      <c r="F76" s="5">
        <v>42526</v>
      </c>
      <c r="I76" t="s">
        <v>211</v>
      </c>
    </row>
    <row r="77" spans="1:9" x14ac:dyDescent="0.3">
      <c r="A77" t="s">
        <v>84</v>
      </c>
      <c r="C77" t="s">
        <v>168</v>
      </c>
      <c r="D77" t="s">
        <v>171</v>
      </c>
      <c r="E77" s="3">
        <v>96142</v>
      </c>
      <c r="F77" s="5">
        <v>42533</v>
      </c>
      <c r="G77" s="7">
        <v>1</v>
      </c>
      <c r="H77" t="s">
        <v>179</v>
      </c>
      <c r="I77" t="s">
        <v>242</v>
      </c>
    </row>
    <row r="78" spans="1:9" x14ac:dyDescent="0.3">
      <c r="A78" t="s">
        <v>85</v>
      </c>
      <c r="B78" t="s">
        <v>159</v>
      </c>
      <c r="C78" t="s">
        <v>169</v>
      </c>
      <c r="D78" t="s">
        <v>174</v>
      </c>
      <c r="E78" s="3">
        <v>94301</v>
      </c>
      <c r="F78" s="5">
        <v>42540</v>
      </c>
      <c r="G78" s="7">
        <v>1</v>
      </c>
      <c r="H78" t="s">
        <v>180</v>
      </c>
      <c r="I78" t="s">
        <v>223</v>
      </c>
    </row>
    <row r="79" spans="1:9" x14ac:dyDescent="0.3">
      <c r="A79" t="s">
        <v>86</v>
      </c>
      <c r="B79" t="s">
        <v>162</v>
      </c>
      <c r="D79" t="s">
        <v>175</v>
      </c>
      <c r="E79" s="3">
        <v>69166</v>
      </c>
      <c r="F79" s="5">
        <v>42547</v>
      </c>
      <c r="G79" s="7">
        <v>1</v>
      </c>
      <c r="H79" t="s">
        <v>181</v>
      </c>
      <c r="I79" t="s">
        <v>243</v>
      </c>
    </row>
    <row r="80" spans="1:9" x14ac:dyDescent="0.3">
      <c r="A80" t="s">
        <v>87</v>
      </c>
      <c r="B80" t="s">
        <v>163</v>
      </c>
      <c r="D80" t="s">
        <v>175</v>
      </c>
      <c r="E80" s="3">
        <v>78245</v>
      </c>
      <c r="F80" s="5">
        <v>42554</v>
      </c>
      <c r="G80" s="7">
        <v>2</v>
      </c>
      <c r="I80" t="s">
        <v>244</v>
      </c>
    </row>
    <row r="81" spans="1:9" x14ac:dyDescent="0.3">
      <c r="A81" t="s">
        <v>88</v>
      </c>
      <c r="B81" t="s">
        <v>164</v>
      </c>
      <c r="C81" t="s">
        <v>168</v>
      </c>
      <c r="D81" t="s">
        <v>173</v>
      </c>
      <c r="E81" s="3">
        <v>66079</v>
      </c>
      <c r="F81" s="5">
        <v>42561</v>
      </c>
      <c r="G81" s="7">
        <v>2</v>
      </c>
      <c r="H81" t="s">
        <v>179</v>
      </c>
      <c r="I81" t="s">
        <v>245</v>
      </c>
    </row>
    <row r="82" spans="1:9" x14ac:dyDescent="0.3">
      <c r="A82" t="s">
        <v>89</v>
      </c>
      <c r="B82" t="s">
        <v>159</v>
      </c>
      <c r="C82" t="s">
        <v>170</v>
      </c>
      <c r="D82" t="s">
        <v>174</v>
      </c>
      <c r="E82" s="3" t="s">
        <v>177</v>
      </c>
      <c r="I82" t="s">
        <v>208</v>
      </c>
    </row>
    <row r="83" spans="1:9" x14ac:dyDescent="0.3">
      <c r="A83" t="s">
        <v>90</v>
      </c>
      <c r="B83" t="s">
        <v>162</v>
      </c>
      <c r="C83" t="s">
        <v>168</v>
      </c>
      <c r="D83" t="s">
        <v>173</v>
      </c>
      <c r="E83" s="3">
        <v>95621</v>
      </c>
      <c r="F83" s="5">
        <v>42575</v>
      </c>
      <c r="G83" s="7">
        <v>3</v>
      </c>
      <c r="H83" t="s">
        <v>181</v>
      </c>
      <c r="I83" t="s">
        <v>246</v>
      </c>
    </row>
    <row r="84" spans="1:9" x14ac:dyDescent="0.3">
      <c r="A84" t="s">
        <v>91</v>
      </c>
      <c r="B84" t="s">
        <v>159</v>
      </c>
      <c r="C84" t="s">
        <v>169</v>
      </c>
      <c r="D84" t="s">
        <v>175</v>
      </c>
      <c r="E84" s="3">
        <v>42262</v>
      </c>
      <c r="F84" s="5">
        <v>42582</v>
      </c>
      <c r="G84" s="7">
        <v>1</v>
      </c>
      <c r="I84" t="s">
        <v>247</v>
      </c>
    </row>
    <row r="85" spans="1:9" x14ac:dyDescent="0.3">
      <c r="A85" t="s">
        <v>92</v>
      </c>
      <c r="B85" t="s">
        <v>163</v>
      </c>
      <c r="C85" t="s">
        <v>168</v>
      </c>
      <c r="D85" t="s">
        <v>174</v>
      </c>
      <c r="E85" s="3">
        <v>99621</v>
      </c>
      <c r="F85" s="5">
        <v>42589</v>
      </c>
      <c r="H85" t="s">
        <v>179</v>
      </c>
      <c r="I85" t="s">
        <v>248</v>
      </c>
    </row>
    <row r="86" spans="1:9" x14ac:dyDescent="0.3">
      <c r="A86" t="s">
        <v>93</v>
      </c>
      <c r="B86" t="s">
        <v>161</v>
      </c>
      <c r="C86" t="s">
        <v>170</v>
      </c>
      <c r="D86" t="s">
        <v>174</v>
      </c>
      <c r="E86" s="3">
        <v>44682</v>
      </c>
      <c r="F86" s="5">
        <v>42596</v>
      </c>
      <c r="G86" s="7">
        <v>4</v>
      </c>
      <c r="H86" t="s">
        <v>181</v>
      </c>
      <c r="I86" t="s">
        <v>220</v>
      </c>
    </row>
    <row r="87" spans="1:9" x14ac:dyDescent="0.3">
      <c r="A87" t="s">
        <v>94</v>
      </c>
      <c r="B87" t="s">
        <v>164</v>
      </c>
      <c r="C87" t="s">
        <v>166</v>
      </c>
      <c r="E87" s="3">
        <v>35163</v>
      </c>
      <c r="F87" s="5">
        <v>42603</v>
      </c>
      <c r="G87" s="7">
        <v>5</v>
      </c>
      <c r="H87" t="s">
        <v>179</v>
      </c>
      <c r="I87" t="s">
        <v>249</v>
      </c>
    </row>
    <row r="88" spans="1:9" x14ac:dyDescent="0.3">
      <c r="A88" t="s">
        <v>95</v>
      </c>
      <c r="B88" t="s">
        <v>164</v>
      </c>
      <c r="C88" t="s">
        <v>169</v>
      </c>
      <c r="D88" t="s">
        <v>174</v>
      </c>
      <c r="E88" s="3">
        <v>33483</v>
      </c>
      <c r="F88" s="5">
        <v>42610</v>
      </c>
      <c r="G88" s="7">
        <v>4</v>
      </c>
      <c r="H88" t="s">
        <v>180</v>
      </c>
      <c r="I88" t="s">
        <v>250</v>
      </c>
    </row>
    <row r="89" spans="1:9" x14ac:dyDescent="0.3">
      <c r="A89" t="s">
        <v>96</v>
      </c>
      <c r="B89" t="s">
        <v>163</v>
      </c>
      <c r="C89" t="s">
        <v>167</v>
      </c>
      <c r="D89" t="s">
        <v>172</v>
      </c>
      <c r="E89" s="3">
        <v>55303</v>
      </c>
      <c r="F89" s="5">
        <v>42617</v>
      </c>
      <c r="G89" s="7">
        <v>4</v>
      </c>
      <c r="H89" t="s">
        <v>180</v>
      </c>
      <c r="I89" t="s">
        <v>203</v>
      </c>
    </row>
    <row r="90" spans="1:9" x14ac:dyDescent="0.3">
      <c r="A90" t="s">
        <v>97</v>
      </c>
      <c r="B90" t="s">
        <v>164</v>
      </c>
      <c r="C90" t="s">
        <v>169</v>
      </c>
      <c r="E90" s="3">
        <v>63434</v>
      </c>
      <c r="F90" s="5">
        <v>42624</v>
      </c>
      <c r="G90" s="7">
        <v>3</v>
      </c>
      <c r="I90" t="s">
        <v>251</v>
      </c>
    </row>
    <row r="91" spans="1:9" x14ac:dyDescent="0.3">
      <c r="A91" t="s">
        <v>98</v>
      </c>
      <c r="B91" t="s">
        <v>162</v>
      </c>
      <c r="D91" t="s">
        <v>176</v>
      </c>
      <c r="E91" s="3">
        <v>38830</v>
      </c>
      <c r="F91" s="5">
        <v>42631</v>
      </c>
      <c r="G91" s="7">
        <v>3</v>
      </c>
      <c r="H91" t="s">
        <v>179</v>
      </c>
      <c r="I91" t="s">
        <v>203</v>
      </c>
    </row>
    <row r="92" spans="1:9" x14ac:dyDescent="0.3">
      <c r="A92" t="s">
        <v>99</v>
      </c>
      <c r="C92" t="s">
        <v>170</v>
      </c>
      <c r="D92" t="s">
        <v>175</v>
      </c>
      <c r="E92" s="3">
        <v>50741</v>
      </c>
      <c r="F92" s="5">
        <v>42638</v>
      </c>
      <c r="G92" s="7">
        <v>3</v>
      </c>
      <c r="H92" t="s">
        <v>178</v>
      </c>
      <c r="I92" t="s">
        <v>240</v>
      </c>
    </row>
    <row r="93" spans="1:9" x14ac:dyDescent="0.3">
      <c r="A93" t="s">
        <v>100</v>
      </c>
      <c r="B93" t="s">
        <v>160</v>
      </c>
      <c r="C93" t="s">
        <v>167</v>
      </c>
      <c r="D93" t="s">
        <v>176</v>
      </c>
      <c r="E93" s="3">
        <v>69420</v>
      </c>
      <c r="F93" s="5">
        <v>42645</v>
      </c>
      <c r="G93" s="7">
        <v>1</v>
      </c>
      <c r="H93" t="s">
        <v>180</v>
      </c>
      <c r="I93" t="s">
        <v>225</v>
      </c>
    </row>
    <row r="94" spans="1:9" x14ac:dyDescent="0.3">
      <c r="A94" t="s">
        <v>101</v>
      </c>
      <c r="B94" t="s">
        <v>162</v>
      </c>
      <c r="C94" t="s">
        <v>169</v>
      </c>
      <c r="E94" s="3">
        <v>80588</v>
      </c>
      <c r="F94" s="5">
        <v>42652</v>
      </c>
      <c r="G94" s="7">
        <v>5</v>
      </c>
      <c r="H94" t="s">
        <v>180</v>
      </c>
      <c r="I94" t="s">
        <v>216</v>
      </c>
    </row>
    <row r="95" spans="1:9" x14ac:dyDescent="0.3">
      <c r="A95" t="s">
        <v>102</v>
      </c>
      <c r="B95" t="s">
        <v>160</v>
      </c>
      <c r="D95" t="s">
        <v>173</v>
      </c>
      <c r="E95" s="3">
        <v>76238</v>
      </c>
      <c r="F95" s="5">
        <v>42659</v>
      </c>
      <c r="G95" s="7">
        <v>4</v>
      </c>
      <c r="H95" t="s">
        <v>180</v>
      </c>
      <c r="I95" t="s">
        <v>252</v>
      </c>
    </row>
    <row r="96" spans="1:9" x14ac:dyDescent="0.3">
      <c r="A96" t="s">
        <v>103</v>
      </c>
      <c r="B96" t="s">
        <v>165</v>
      </c>
      <c r="C96" t="s">
        <v>169</v>
      </c>
      <c r="D96" t="s">
        <v>174</v>
      </c>
      <c r="E96" s="3">
        <v>33264</v>
      </c>
      <c r="F96" s="5">
        <v>42666</v>
      </c>
      <c r="H96" t="s">
        <v>181</v>
      </c>
      <c r="I96" t="s">
        <v>253</v>
      </c>
    </row>
    <row r="97" spans="1:9" x14ac:dyDescent="0.3">
      <c r="A97" t="s">
        <v>104</v>
      </c>
      <c r="B97" t="s">
        <v>160</v>
      </c>
      <c r="C97" t="s">
        <v>166</v>
      </c>
      <c r="D97" t="s">
        <v>176</v>
      </c>
      <c r="E97" s="3">
        <v>96101</v>
      </c>
      <c r="F97" s="5">
        <v>42673</v>
      </c>
      <c r="H97" t="s">
        <v>179</v>
      </c>
      <c r="I97" t="s">
        <v>254</v>
      </c>
    </row>
    <row r="98" spans="1:9" x14ac:dyDescent="0.3">
      <c r="A98" t="s">
        <v>105</v>
      </c>
      <c r="B98" t="s">
        <v>162</v>
      </c>
      <c r="C98" t="s">
        <v>166</v>
      </c>
      <c r="D98" t="s">
        <v>173</v>
      </c>
      <c r="E98" s="3">
        <v>72939</v>
      </c>
      <c r="F98" s="5">
        <v>42680</v>
      </c>
      <c r="G98" s="7">
        <v>3</v>
      </c>
      <c r="I98" t="s">
        <v>255</v>
      </c>
    </row>
    <row r="99" spans="1:9" x14ac:dyDescent="0.3">
      <c r="A99" t="s">
        <v>106</v>
      </c>
      <c r="B99" t="s">
        <v>163</v>
      </c>
      <c r="C99" t="s">
        <v>167</v>
      </c>
      <c r="D99" t="s">
        <v>172</v>
      </c>
      <c r="E99" s="3">
        <v>89333</v>
      </c>
      <c r="F99" s="5">
        <v>42687</v>
      </c>
      <c r="G99" s="7">
        <v>1</v>
      </c>
      <c r="H99" t="s">
        <v>180</v>
      </c>
      <c r="I99" t="s">
        <v>256</v>
      </c>
    </row>
    <row r="100" spans="1:9" x14ac:dyDescent="0.3">
      <c r="A100" t="s">
        <v>107</v>
      </c>
      <c r="B100" t="s">
        <v>165</v>
      </c>
      <c r="C100" t="s">
        <v>169</v>
      </c>
      <c r="D100" t="s">
        <v>176</v>
      </c>
      <c r="E100" s="3">
        <v>70470</v>
      </c>
      <c r="F100" s="5">
        <v>42694</v>
      </c>
      <c r="H100" t="s">
        <v>180</v>
      </c>
      <c r="I100" t="s">
        <v>257</v>
      </c>
    </row>
    <row r="101" spans="1:9" x14ac:dyDescent="0.3">
      <c r="A101" t="s">
        <v>108</v>
      </c>
      <c r="B101" t="s">
        <v>159</v>
      </c>
      <c r="C101" t="s">
        <v>170</v>
      </c>
      <c r="D101" t="s">
        <v>173</v>
      </c>
      <c r="E101" s="3">
        <v>70096</v>
      </c>
      <c r="F101" s="5">
        <v>42701</v>
      </c>
      <c r="G101" s="7">
        <v>4</v>
      </c>
      <c r="H101" t="s">
        <v>180</v>
      </c>
      <c r="I101" t="s">
        <v>258</v>
      </c>
    </row>
    <row r="102" spans="1:9" x14ac:dyDescent="0.3">
      <c r="A102" t="s">
        <v>109</v>
      </c>
      <c r="B102" t="s">
        <v>165</v>
      </c>
      <c r="C102" t="s">
        <v>170</v>
      </c>
      <c r="D102" t="s">
        <v>171</v>
      </c>
      <c r="E102" s="3" t="s">
        <v>177</v>
      </c>
      <c r="F102" s="5">
        <v>42708</v>
      </c>
      <c r="G102" s="7">
        <v>2</v>
      </c>
      <c r="H102" t="s">
        <v>179</v>
      </c>
      <c r="I102" t="s">
        <v>259</v>
      </c>
    </row>
    <row r="103" spans="1:9" x14ac:dyDescent="0.3">
      <c r="A103" t="s">
        <v>110</v>
      </c>
      <c r="B103" t="s">
        <v>165</v>
      </c>
      <c r="C103" t="s">
        <v>169</v>
      </c>
      <c r="D103" t="s">
        <v>172</v>
      </c>
      <c r="E103" s="3">
        <v>66503</v>
      </c>
      <c r="F103" s="5">
        <v>42715</v>
      </c>
      <c r="H103" t="s">
        <v>180</v>
      </c>
      <c r="I103" t="s">
        <v>200</v>
      </c>
    </row>
    <row r="104" spans="1:9" x14ac:dyDescent="0.3">
      <c r="A104" t="s">
        <v>111</v>
      </c>
      <c r="B104" t="s">
        <v>160</v>
      </c>
      <c r="C104" t="s">
        <v>167</v>
      </c>
      <c r="D104" t="s">
        <v>172</v>
      </c>
      <c r="E104" s="3">
        <v>42096</v>
      </c>
      <c r="F104" s="5">
        <v>42722</v>
      </c>
      <c r="H104" t="s">
        <v>181</v>
      </c>
      <c r="I104" t="s">
        <v>260</v>
      </c>
    </row>
    <row r="105" spans="1:9" x14ac:dyDescent="0.3">
      <c r="A105" t="s">
        <v>112</v>
      </c>
      <c r="B105" t="s">
        <v>160</v>
      </c>
      <c r="C105" t="s">
        <v>170</v>
      </c>
      <c r="E105" s="3">
        <v>79145</v>
      </c>
      <c r="F105" s="5">
        <v>42729</v>
      </c>
      <c r="G105" s="7">
        <v>5</v>
      </c>
      <c r="H105" t="s">
        <v>179</v>
      </c>
      <c r="I105" t="s">
        <v>223</v>
      </c>
    </row>
    <row r="106" spans="1:9" x14ac:dyDescent="0.3">
      <c r="A106" t="s">
        <v>113</v>
      </c>
      <c r="B106" t="s">
        <v>162</v>
      </c>
      <c r="D106" t="s">
        <v>176</v>
      </c>
      <c r="E106" s="3">
        <v>61556</v>
      </c>
      <c r="F106" s="5">
        <v>42736</v>
      </c>
      <c r="G106" s="7">
        <v>1</v>
      </c>
      <c r="I106" t="s">
        <v>259</v>
      </c>
    </row>
    <row r="107" spans="1:9" x14ac:dyDescent="0.3">
      <c r="A107" t="s">
        <v>114</v>
      </c>
      <c r="C107" t="s">
        <v>167</v>
      </c>
      <c r="D107" t="s">
        <v>175</v>
      </c>
      <c r="E107" s="3">
        <v>87963</v>
      </c>
      <c r="F107" s="5">
        <v>42743</v>
      </c>
      <c r="G107" s="7">
        <v>3</v>
      </c>
      <c r="H107" t="s">
        <v>179</v>
      </c>
      <c r="I107" t="s">
        <v>182</v>
      </c>
    </row>
    <row r="108" spans="1:9" x14ac:dyDescent="0.3">
      <c r="A108" t="s">
        <v>115</v>
      </c>
      <c r="B108" t="s">
        <v>159</v>
      </c>
      <c r="C108" t="s">
        <v>169</v>
      </c>
      <c r="E108" s="3">
        <v>48325</v>
      </c>
      <c r="F108" s="5">
        <v>42750</v>
      </c>
      <c r="H108" t="s">
        <v>180</v>
      </c>
      <c r="I108" t="s">
        <v>261</v>
      </c>
    </row>
    <row r="109" spans="1:9" x14ac:dyDescent="0.3">
      <c r="A109" t="s">
        <v>116</v>
      </c>
      <c r="B109" t="s">
        <v>163</v>
      </c>
      <c r="C109" t="s">
        <v>170</v>
      </c>
      <c r="D109" t="s">
        <v>176</v>
      </c>
      <c r="E109" s="3">
        <v>86412</v>
      </c>
      <c r="F109" s="5">
        <v>42757</v>
      </c>
      <c r="G109" s="7">
        <v>2</v>
      </c>
      <c r="H109" t="s">
        <v>181</v>
      </c>
      <c r="I109" t="s">
        <v>202</v>
      </c>
    </row>
    <row r="110" spans="1:9" x14ac:dyDescent="0.3">
      <c r="A110" t="s">
        <v>117</v>
      </c>
      <c r="B110" t="s">
        <v>163</v>
      </c>
      <c r="C110" t="s">
        <v>167</v>
      </c>
      <c r="E110" s="3">
        <v>66761</v>
      </c>
      <c r="F110" s="5">
        <v>42764</v>
      </c>
      <c r="G110" s="7">
        <v>1</v>
      </c>
      <c r="I110" t="s">
        <v>262</v>
      </c>
    </row>
    <row r="111" spans="1:9" x14ac:dyDescent="0.3">
      <c r="A111" t="s">
        <v>118</v>
      </c>
      <c r="B111" t="s">
        <v>162</v>
      </c>
      <c r="D111" t="s">
        <v>174</v>
      </c>
      <c r="E111" s="3">
        <v>88850</v>
      </c>
      <c r="F111" s="5">
        <v>42771</v>
      </c>
      <c r="G111" s="7">
        <v>1</v>
      </c>
      <c r="H111" t="s">
        <v>181</v>
      </c>
      <c r="I111" t="s">
        <v>263</v>
      </c>
    </row>
    <row r="112" spans="1:9" x14ac:dyDescent="0.3">
      <c r="A112" t="s">
        <v>119</v>
      </c>
      <c r="B112" t="s">
        <v>164</v>
      </c>
      <c r="C112" t="s">
        <v>168</v>
      </c>
      <c r="D112" t="s">
        <v>174</v>
      </c>
      <c r="E112" s="3">
        <v>31293</v>
      </c>
      <c r="G112" s="7">
        <v>2</v>
      </c>
      <c r="H112" t="s">
        <v>181</v>
      </c>
      <c r="I112" t="s">
        <v>264</v>
      </c>
    </row>
    <row r="113" spans="1:9" x14ac:dyDescent="0.3">
      <c r="A113" t="s">
        <v>120</v>
      </c>
      <c r="B113" t="s">
        <v>164</v>
      </c>
      <c r="C113" t="s">
        <v>169</v>
      </c>
      <c r="D113" t="s">
        <v>173</v>
      </c>
      <c r="E113" s="3">
        <v>34306</v>
      </c>
      <c r="F113" s="5">
        <v>42785</v>
      </c>
      <c r="G113" s="7">
        <v>5</v>
      </c>
      <c r="H113" t="s">
        <v>181</v>
      </c>
      <c r="I113" t="s">
        <v>239</v>
      </c>
    </row>
    <row r="114" spans="1:9" x14ac:dyDescent="0.3">
      <c r="A114" t="s">
        <v>121</v>
      </c>
      <c r="B114" t="s">
        <v>159</v>
      </c>
      <c r="C114" t="s">
        <v>166</v>
      </c>
      <c r="D114" t="s">
        <v>174</v>
      </c>
      <c r="E114" s="3">
        <v>78330</v>
      </c>
      <c r="F114" s="5">
        <v>42792</v>
      </c>
      <c r="H114" t="s">
        <v>179</v>
      </c>
      <c r="I114" t="s">
        <v>258</v>
      </c>
    </row>
    <row r="115" spans="1:9" x14ac:dyDescent="0.3">
      <c r="A115" t="s">
        <v>122</v>
      </c>
      <c r="B115" t="s">
        <v>160</v>
      </c>
      <c r="C115" t="s">
        <v>169</v>
      </c>
      <c r="D115" t="s">
        <v>173</v>
      </c>
      <c r="E115" s="3">
        <v>47653</v>
      </c>
      <c r="F115" s="5">
        <v>42799</v>
      </c>
      <c r="G115" s="7">
        <v>1</v>
      </c>
      <c r="H115" t="s">
        <v>180</v>
      </c>
      <c r="I115" t="s">
        <v>265</v>
      </c>
    </row>
    <row r="116" spans="1:9" x14ac:dyDescent="0.3">
      <c r="A116" t="s">
        <v>123</v>
      </c>
      <c r="B116" t="s">
        <v>159</v>
      </c>
      <c r="C116" t="s">
        <v>170</v>
      </c>
      <c r="D116" t="s">
        <v>175</v>
      </c>
      <c r="E116" s="3">
        <v>44627</v>
      </c>
      <c r="F116" s="5">
        <v>42806</v>
      </c>
      <c r="G116" s="7">
        <v>4</v>
      </c>
      <c r="I116" t="s">
        <v>235</v>
      </c>
    </row>
    <row r="117" spans="1:9" x14ac:dyDescent="0.3">
      <c r="A117" t="s">
        <v>124</v>
      </c>
      <c r="B117" t="s">
        <v>165</v>
      </c>
      <c r="C117" t="s">
        <v>167</v>
      </c>
      <c r="D117" t="s">
        <v>172</v>
      </c>
      <c r="E117" s="3">
        <v>92343</v>
      </c>
      <c r="F117" s="5">
        <v>42813</v>
      </c>
      <c r="G117" s="7">
        <v>4</v>
      </c>
      <c r="H117" t="s">
        <v>181</v>
      </c>
      <c r="I117" t="s">
        <v>203</v>
      </c>
    </row>
    <row r="118" spans="1:9" x14ac:dyDescent="0.3">
      <c r="A118" t="s">
        <v>125</v>
      </c>
      <c r="B118" t="s">
        <v>165</v>
      </c>
      <c r="C118" t="s">
        <v>170</v>
      </c>
      <c r="D118" t="s">
        <v>176</v>
      </c>
      <c r="E118" s="3">
        <v>38837</v>
      </c>
      <c r="F118" s="5">
        <v>42820</v>
      </c>
      <c r="G118" s="7">
        <v>5</v>
      </c>
      <c r="H118" t="s">
        <v>181</v>
      </c>
      <c r="I118" t="s">
        <v>239</v>
      </c>
    </row>
    <row r="119" spans="1:9" x14ac:dyDescent="0.3">
      <c r="A119" t="s">
        <v>126</v>
      </c>
      <c r="B119" t="s">
        <v>165</v>
      </c>
      <c r="C119" t="s">
        <v>170</v>
      </c>
      <c r="E119" s="3">
        <v>73483</v>
      </c>
      <c r="F119" s="5">
        <v>42827</v>
      </c>
      <c r="G119" s="7">
        <v>1</v>
      </c>
      <c r="I119" t="s">
        <v>266</v>
      </c>
    </row>
    <row r="120" spans="1:9" x14ac:dyDescent="0.3">
      <c r="A120" t="s">
        <v>127</v>
      </c>
      <c r="B120" t="s">
        <v>164</v>
      </c>
      <c r="C120" t="s">
        <v>168</v>
      </c>
      <c r="D120" t="s">
        <v>174</v>
      </c>
      <c r="E120" s="3">
        <v>95032</v>
      </c>
      <c r="F120" s="5">
        <v>42834</v>
      </c>
      <c r="G120" s="7">
        <v>3</v>
      </c>
      <c r="I120" t="s">
        <v>267</v>
      </c>
    </row>
    <row r="121" spans="1:9" x14ac:dyDescent="0.3">
      <c r="A121" t="s">
        <v>128</v>
      </c>
      <c r="B121" t="s">
        <v>159</v>
      </c>
      <c r="C121" t="s">
        <v>168</v>
      </c>
      <c r="D121" t="s">
        <v>176</v>
      </c>
      <c r="E121" s="3">
        <v>44358</v>
      </c>
      <c r="F121" s="5">
        <v>42841</v>
      </c>
      <c r="H121" t="s">
        <v>181</v>
      </c>
      <c r="I121" t="s">
        <v>200</v>
      </c>
    </row>
    <row r="122" spans="1:9" x14ac:dyDescent="0.3">
      <c r="A122" t="s">
        <v>129</v>
      </c>
      <c r="C122" t="s">
        <v>169</v>
      </c>
      <c r="D122" t="s">
        <v>173</v>
      </c>
      <c r="E122" s="3" t="s">
        <v>177</v>
      </c>
      <c r="G122" s="7">
        <v>5</v>
      </c>
      <c r="H122" t="s">
        <v>178</v>
      </c>
      <c r="I122" t="s">
        <v>268</v>
      </c>
    </row>
    <row r="123" spans="1:9" x14ac:dyDescent="0.3">
      <c r="A123" t="s">
        <v>130</v>
      </c>
      <c r="B123" t="s">
        <v>164</v>
      </c>
      <c r="C123" t="s">
        <v>168</v>
      </c>
      <c r="D123" t="s">
        <v>173</v>
      </c>
      <c r="E123" s="3">
        <v>45676</v>
      </c>
      <c r="F123" s="5">
        <v>42855</v>
      </c>
      <c r="G123" s="7">
        <v>2</v>
      </c>
      <c r="I123" t="s">
        <v>269</v>
      </c>
    </row>
    <row r="124" spans="1:9" x14ac:dyDescent="0.3">
      <c r="A124" t="s">
        <v>131</v>
      </c>
      <c r="B124" t="s">
        <v>165</v>
      </c>
      <c r="C124" t="s">
        <v>168</v>
      </c>
      <c r="D124" t="s">
        <v>172</v>
      </c>
      <c r="E124" s="3">
        <v>52036</v>
      </c>
      <c r="F124" s="5">
        <v>42862</v>
      </c>
      <c r="G124" s="7">
        <v>3</v>
      </c>
      <c r="H124" t="s">
        <v>180</v>
      </c>
      <c r="I124" t="s">
        <v>270</v>
      </c>
    </row>
    <row r="125" spans="1:9" x14ac:dyDescent="0.3">
      <c r="A125" t="s">
        <v>132</v>
      </c>
      <c r="B125" t="s">
        <v>162</v>
      </c>
      <c r="D125" t="s">
        <v>172</v>
      </c>
      <c r="E125" s="3">
        <v>30357</v>
      </c>
      <c r="F125" s="5">
        <v>42869</v>
      </c>
      <c r="G125" s="7">
        <v>5</v>
      </c>
      <c r="H125" t="s">
        <v>180</v>
      </c>
      <c r="I125" t="s">
        <v>248</v>
      </c>
    </row>
    <row r="126" spans="1:9" x14ac:dyDescent="0.3">
      <c r="A126" t="s">
        <v>133</v>
      </c>
      <c r="B126" t="s">
        <v>161</v>
      </c>
      <c r="C126" t="s">
        <v>169</v>
      </c>
      <c r="E126" s="3">
        <v>60034</v>
      </c>
      <c r="F126" s="5">
        <v>42876</v>
      </c>
      <c r="G126" s="7">
        <v>1</v>
      </c>
      <c r="H126" t="s">
        <v>181</v>
      </c>
      <c r="I126" t="s">
        <v>271</v>
      </c>
    </row>
    <row r="127" spans="1:9" x14ac:dyDescent="0.3">
      <c r="A127" t="s">
        <v>134</v>
      </c>
      <c r="B127" t="s">
        <v>161</v>
      </c>
      <c r="C127" t="s">
        <v>166</v>
      </c>
      <c r="D127" t="s">
        <v>171</v>
      </c>
      <c r="E127" s="3">
        <v>90019</v>
      </c>
      <c r="F127" s="5">
        <v>42883</v>
      </c>
      <c r="G127" s="7">
        <v>5</v>
      </c>
      <c r="I127" t="s">
        <v>272</v>
      </c>
    </row>
    <row r="128" spans="1:9" x14ac:dyDescent="0.3">
      <c r="A128" t="s">
        <v>135</v>
      </c>
      <c r="B128" t="s">
        <v>165</v>
      </c>
      <c r="D128" t="s">
        <v>172</v>
      </c>
      <c r="E128" s="3">
        <v>71494</v>
      </c>
      <c r="F128" s="5">
        <v>42890</v>
      </c>
      <c r="G128" s="7">
        <v>3</v>
      </c>
      <c r="H128" t="s">
        <v>180</v>
      </c>
      <c r="I128" t="s">
        <v>273</v>
      </c>
    </row>
    <row r="129" spans="1:9" x14ac:dyDescent="0.3">
      <c r="A129" t="s">
        <v>136</v>
      </c>
      <c r="B129" t="s">
        <v>161</v>
      </c>
      <c r="C129" t="s">
        <v>166</v>
      </c>
      <c r="D129" t="s">
        <v>173</v>
      </c>
      <c r="E129" s="3">
        <v>91953</v>
      </c>
      <c r="F129" s="5">
        <v>42897</v>
      </c>
      <c r="G129" s="7">
        <v>2</v>
      </c>
      <c r="H129" t="s">
        <v>180</v>
      </c>
      <c r="I129" t="s">
        <v>209</v>
      </c>
    </row>
    <row r="130" spans="1:9" x14ac:dyDescent="0.3">
      <c r="A130" t="s">
        <v>137</v>
      </c>
      <c r="B130" t="s">
        <v>164</v>
      </c>
      <c r="C130" t="s">
        <v>168</v>
      </c>
      <c r="D130" t="s">
        <v>173</v>
      </c>
      <c r="E130" s="3">
        <v>30402</v>
      </c>
      <c r="F130" s="5">
        <v>42904</v>
      </c>
      <c r="G130" s="7">
        <v>1</v>
      </c>
      <c r="I130" t="s">
        <v>274</v>
      </c>
    </row>
    <row r="131" spans="1:9" x14ac:dyDescent="0.3">
      <c r="A131" t="s">
        <v>138</v>
      </c>
      <c r="B131" t="s">
        <v>165</v>
      </c>
      <c r="D131" t="s">
        <v>175</v>
      </c>
      <c r="E131" s="3">
        <v>62994</v>
      </c>
      <c r="F131" s="5">
        <v>42911</v>
      </c>
      <c r="I131" t="s">
        <v>221</v>
      </c>
    </row>
    <row r="132" spans="1:9" x14ac:dyDescent="0.3">
      <c r="A132" t="s">
        <v>139</v>
      </c>
      <c r="B132" t="s">
        <v>160</v>
      </c>
      <c r="C132" t="s">
        <v>168</v>
      </c>
      <c r="D132" t="s">
        <v>174</v>
      </c>
      <c r="E132" s="3">
        <v>48289</v>
      </c>
      <c r="G132" s="7">
        <v>3</v>
      </c>
      <c r="H132" t="s">
        <v>180</v>
      </c>
      <c r="I132" t="s">
        <v>189</v>
      </c>
    </row>
    <row r="133" spans="1:9" x14ac:dyDescent="0.3">
      <c r="A133" t="s">
        <v>140</v>
      </c>
      <c r="B133" t="s">
        <v>163</v>
      </c>
      <c r="C133" t="s">
        <v>170</v>
      </c>
      <c r="D133" t="s">
        <v>172</v>
      </c>
      <c r="E133" s="3">
        <v>34402</v>
      </c>
      <c r="F133" s="5">
        <v>42925</v>
      </c>
      <c r="G133" s="7">
        <v>3</v>
      </c>
      <c r="H133" t="s">
        <v>179</v>
      </c>
      <c r="I133" t="s">
        <v>218</v>
      </c>
    </row>
    <row r="134" spans="1:9" x14ac:dyDescent="0.3">
      <c r="A134" t="s">
        <v>141</v>
      </c>
      <c r="B134" t="s">
        <v>159</v>
      </c>
      <c r="C134" t="s">
        <v>167</v>
      </c>
      <c r="D134" t="s">
        <v>173</v>
      </c>
      <c r="E134" s="3">
        <v>38678</v>
      </c>
      <c r="F134" s="5">
        <v>42932</v>
      </c>
      <c r="G134" s="7">
        <v>3</v>
      </c>
      <c r="H134" t="s">
        <v>179</v>
      </c>
      <c r="I134" t="s">
        <v>275</v>
      </c>
    </row>
    <row r="135" spans="1:9" x14ac:dyDescent="0.3">
      <c r="A135" t="s">
        <v>142</v>
      </c>
      <c r="B135" t="s">
        <v>164</v>
      </c>
      <c r="C135" t="s">
        <v>167</v>
      </c>
      <c r="D135" t="s">
        <v>172</v>
      </c>
      <c r="E135" s="3">
        <v>45758</v>
      </c>
      <c r="F135" s="5">
        <v>42939</v>
      </c>
      <c r="G135" s="7">
        <v>3</v>
      </c>
      <c r="I135" t="s">
        <v>264</v>
      </c>
    </row>
    <row r="136" spans="1:9" x14ac:dyDescent="0.3">
      <c r="A136" t="s">
        <v>143</v>
      </c>
      <c r="B136" t="s">
        <v>159</v>
      </c>
      <c r="C136" t="s">
        <v>170</v>
      </c>
      <c r="D136" t="s">
        <v>174</v>
      </c>
      <c r="E136" s="3">
        <v>62476</v>
      </c>
      <c r="F136" s="5">
        <v>42946</v>
      </c>
      <c r="G136" s="7">
        <v>1</v>
      </c>
      <c r="H136" t="s">
        <v>179</v>
      </c>
      <c r="I136" t="s">
        <v>231</v>
      </c>
    </row>
    <row r="137" spans="1:9" x14ac:dyDescent="0.3">
      <c r="A137" t="s">
        <v>144</v>
      </c>
      <c r="C137" t="s">
        <v>169</v>
      </c>
      <c r="D137" t="s">
        <v>175</v>
      </c>
      <c r="E137" s="3">
        <v>39280</v>
      </c>
      <c r="F137" s="5">
        <v>42953</v>
      </c>
      <c r="G137" s="7">
        <v>3</v>
      </c>
      <c r="H137" t="s">
        <v>181</v>
      </c>
      <c r="I137" t="s">
        <v>214</v>
      </c>
    </row>
    <row r="138" spans="1:9" x14ac:dyDescent="0.3">
      <c r="A138" t="s">
        <v>145</v>
      </c>
      <c r="B138" t="s">
        <v>162</v>
      </c>
      <c r="C138" t="s">
        <v>166</v>
      </c>
      <c r="D138" t="s">
        <v>174</v>
      </c>
      <c r="E138" s="3">
        <v>60335</v>
      </c>
      <c r="F138" s="5">
        <v>42960</v>
      </c>
      <c r="G138" s="7">
        <v>4</v>
      </c>
      <c r="H138" t="s">
        <v>179</v>
      </c>
      <c r="I138" t="s">
        <v>227</v>
      </c>
    </row>
    <row r="139" spans="1:9" x14ac:dyDescent="0.3">
      <c r="A139" t="s">
        <v>146</v>
      </c>
      <c r="B139" t="s">
        <v>164</v>
      </c>
      <c r="C139" t="s">
        <v>167</v>
      </c>
      <c r="D139" t="s">
        <v>172</v>
      </c>
      <c r="E139" s="3">
        <v>84968</v>
      </c>
      <c r="F139" s="5">
        <v>42967</v>
      </c>
      <c r="I139" t="s">
        <v>276</v>
      </c>
    </row>
    <row r="140" spans="1:9" x14ac:dyDescent="0.3">
      <c r="A140" t="s">
        <v>147</v>
      </c>
      <c r="B140" t="s">
        <v>164</v>
      </c>
      <c r="C140" t="s">
        <v>170</v>
      </c>
      <c r="D140" t="s">
        <v>176</v>
      </c>
      <c r="E140" s="3">
        <v>84750</v>
      </c>
      <c r="F140" s="5">
        <v>42974</v>
      </c>
      <c r="G140" s="7">
        <v>4</v>
      </c>
      <c r="H140" t="s">
        <v>181</v>
      </c>
      <c r="I140" t="s">
        <v>195</v>
      </c>
    </row>
    <row r="141" spans="1:9" x14ac:dyDescent="0.3">
      <c r="A141" t="s">
        <v>148</v>
      </c>
      <c r="B141" t="s">
        <v>165</v>
      </c>
      <c r="C141" t="s">
        <v>169</v>
      </c>
      <c r="E141" s="3">
        <v>73348</v>
      </c>
      <c r="F141" s="5">
        <v>42981</v>
      </c>
      <c r="G141" s="7">
        <v>2</v>
      </c>
      <c r="I141" t="s">
        <v>243</v>
      </c>
    </row>
    <row r="142" spans="1:9" x14ac:dyDescent="0.3">
      <c r="A142" t="s">
        <v>149</v>
      </c>
      <c r="B142" t="s">
        <v>164</v>
      </c>
      <c r="C142" t="s">
        <v>168</v>
      </c>
      <c r="D142" t="s">
        <v>173</v>
      </c>
      <c r="E142" s="3" t="s">
        <v>177</v>
      </c>
      <c r="F142" s="5">
        <v>42988</v>
      </c>
      <c r="G142" s="7">
        <v>4</v>
      </c>
      <c r="H142" t="s">
        <v>179</v>
      </c>
      <c r="I142" t="s">
        <v>182</v>
      </c>
    </row>
    <row r="143" spans="1:9" x14ac:dyDescent="0.3">
      <c r="A143" t="s">
        <v>150</v>
      </c>
      <c r="B143" t="s">
        <v>162</v>
      </c>
      <c r="C143" t="s">
        <v>170</v>
      </c>
      <c r="D143" t="s">
        <v>173</v>
      </c>
      <c r="E143" s="3">
        <v>66882</v>
      </c>
      <c r="F143" s="5">
        <v>42995</v>
      </c>
      <c r="G143" s="7">
        <v>5</v>
      </c>
      <c r="H143" t="s">
        <v>179</v>
      </c>
      <c r="I143" t="s">
        <v>207</v>
      </c>
    </row>
    <row r="144" spans="1:9" x14ac:dyDescent="0.3">
      <c r="A144" t="s">
        <v>151</v>
      </c>
      <c r="B144" t="s">
        <v>160</v>
      </c>
      <c r="C144" t="s">
        <v>170</v>
      </c>
      <c r="E144" s="3">
        <v>86775</v>
      </c>
      <c r="F144" s="5">
        <v>43002</v>
      </c>
      <c r="G144" s="7">
        <v>3</v>
      </c>
      <c r="H144" t="s">
        <v>179</v>
      </c>
      <c r="I144" t="s">
        <v>212</v>
      </c>
    </row>
    <row r="145" spans="1:9" x14ac:dyDescent="0.3">
      <c r="A145" t="s">
        <v>152</v>
      </c>
      <c r="B145" t="s">
        <v>164</v>
      </c>
      <c r="C145" t="s">
        <v>168</v>
      </c>
      <c r="D145" t="s">
        <v>175</v>
      </c>
      <c r="E145" s="3">
        <v>91620</v>
      </c>
      <c r="F145" s="5">
        <v>43009</v>
      </c>
      <c r="I145" t="s">
        <v>277</v>
      </c>
    </row>
    <row r="146" spans="1:9" x14ac:dyDescent="0.3">
      <c r="A146" t="s">
        <v>153</v>
      </c>
      <c r="B146" t="s">
        <v>159</v>
      </c>
      <c r="E146" s="3">
        <v>94148</v>
      </c>
      <c r="F146" s="5">
        <v>43016</v>
      </c>
      <c r="G146" s="7">
        <v>2</v>
      </c>
      <c r="I146" t="s">
        <v>278</v>
      </c>
    </row>
    <row r="147" spans="1:9" x14ac:dyDescent="0.3">
      <c r="A147" t="s">
        <v>154</v>
      </c>
      <c r="B147" t="s">
        <v>163</v>
      </c>
      <c r="C147" t="s">
        <v>168</v>
      </c>
      <c r="D147" t="s">
        <v>176</v>
      </c>
      <c r="E147" s="3">
        <v>35627</v>
      </c>
      <c r="F147" s="5">
        <v>43023</v>
      </c>
      <c r="G147" s="7">
        <v>5</v>
      </c>
      <c r="H147" t="s">
        <v>181</v>
      </c>
      <c r="I147" t="s">
        <v>275</v>
      </c>
    </row>
    <row r="148" spans="1:9" x14ac:dyDescent="0.3">
      <c r="A148" t="s">
        <v>155</v>
      </c>
      <c r="B148" t="s">
        <v>161</v>
      </c>
      <c r="C148" t="s">
        <v>170</v>
      </c>
      <c r="D148" t="s">
        <v>173</v>
      </c>
      <c r="E148" s="3">
        <v>57141</v>
      </c>
      <c r="F148" s="5">
        <v>43030</v>
      </c>
      <c r="G148" s="7">
        <v>2</v>
      </c>
      <c r="I148" t="s">
        <v>276</v>
      </c>
    </row>
    <row r="149" spans="1:9" x14ac:dyDescent="0.3">
      <c r="A149" t="s">
        <v>156</v>
      </c>
      <c r="B149" t="s">
        <v>165</v>
      </c>
      <c r="C149" t="s">
        <v>168</v>
      </c>
      <c r="D149" t="s">
        <v>176</v>
      </c>
      <c r="E149" s="3">
        <v>65270</v>
      </c>
      <c r="F149" s="5">
        <v>43037</v>
      </c>
      <c r="G149" s="7">
        <v>1</v>
      </c>
      <c r="I149" t="s">
        <v>279</v>
      </c>
    </row>
    <row r="150" spans="1:9" x14ac:dyDescent="0.3">
      <c r="A150" t="s">
        <v>157</v>
      </c>
      <c r="B150" t="s">
        <v>165</v>
      </c>
      <c r="D150" t="s">
        <v>175</v>
      </c>
      <c r="E150" s="3">
        <v>67335</v>
      </c>
      <c r="F150" s="5">
        <v>43044</v>
      </c>
      <c r="G150" s="7">
        <v>1</v>
      </c>
      <c r="H150" t="s">
        <v>179</v>
      </c>
      <c r="I150" t="s">
        <v>233</v>
      </c>
    </row>
    <row r="151" spans="1:9" x14ac:dyDescent="0.3">
      <c r="A151" t="s">
        <v>158</v>
      </c>
      <c r="B151" t="s">
        <v>163</v>
      </c>
      <c r="C151" t="s">
        <v>170</v>
      </c>
      <c r="D151" t="s">
        <v>174</v>
      </c>
      <c r="E151" s="3">
        <v>98475</v>
      </c>
      <c r="F151" s="5">
        <v>43051</v>
      </c>
      <c r="G151" s="7">
        <v>5</v>
      </c>
      <c r="H151" t="s">
        <v>179</v>
      </c>
      <c r="I151" t="s">
        <v>280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53EB9-C69A-433B-939B-146FBD2D6343}">
  <dimension ref="A1:Q151"/>
  <sheetViews>
    <sheetView workbookViewId="0">
      <selection activeCell="A2" sqref="A2"/>
    </sheetView>
  </sheetViews>
  <sheetFormatPr defaultRowHeight="14.4" x14ac:dyDescent="0.3"/>
  <cols>
    <col min="1" max="1" width="18.21875" bestFit="1" customWidth="1"/>
    <col min="2" max="2" width="11.44140625" hidden="1" customWidth="1"/>
    <col min="3" max="3" width="29.109375" customWidth="1"/>
    <col min="4" max="4" width="17.77734375" bestFit="1" customWidth="1"/>
    <col min="5" max="5" width="19" bestFit="1" customWidth="1"/>
    <col min="6" max="6" width="13.5546875" bestFit="1" customWidth="1"/>
    <col min="7" max="7" width="14.77734375" bestFit="1" customWidth="1"/>
    <col min="8" max="8" width="11.77734375" style="3" bestFit="1" customWidth="1"/>
    <col min="9" max="9" width="13" style="3" bestFit="1" customWidth="1"/>
    <col min="10" max="10" width="20.109375" style="5" bestFit="1" customWidth="1"/>
    <col min="11" max="11" width="20.109375" style="5" customWidth="1"/>
    <col min="12" max="12" width="25.77734375" style="7" bestFit="1" customWidth="1"/>
    <col min="13" max="13" width="25.77734375" style="7" customWidth="1"/>
    <col min="14" max="14" width="12.88671875" bestFit="1" customWidth="1"/>
    <col min="15" max="15" width="12.88671875" customWidth="1"/>
    <col min="16" max="16" width="20.44140625" bestFit="1" customWidth="1"/>
    <col min="17" max="17" width="20.44140625" customWidth="1"/>
    <col min="25" max="25" width="11" customWidth="1"/>
    <col min="26" max="26" width="14.21875" customWidth="1"/>
  </cols>
  <sheetData>
    <row r="1" spans="1:17" ht="15.6" x14ac:dyDescent="0.3">
      <c r="A1" s="1" t="s">
        <v>0</v>
      </c>
      <c r="B1" s="9" t="s">
        <v>1</v>
      </c>
      <c r="C1" s="1" t="s">
        <v>289</v>
      </c>
      <c r="D1" s="9" t="s">
        <v>2</v>
      </c>
      <c r="E1" s="1" t="s">
        <v>281</v>
      </c>
      <c r="F1" s="9" t="s">
        <v>3</v>
      </c>
      <c r="G1" s="1" t="s">
        <v>282</v>
      </c>
      <c r="H1" s="8" t="s">
        <v>4</v>
      </c>
      <c r="I1" s="2" t="s">
        <v>283</v>
      </c>
      <c r="J1" s="12" t="s">
        <v>5</v>
      </c>
      <c r="K1" s="4" t="s">
        <v>285</v>
      </c>
      <c r="L1" s="11" t="s">
        <v>6</v>
      </c>
      <c r="M1" s="6" t="s">
        <v>288</v>
      </c>
      <c r="N1" s="9" t="s">
        <v>7</v>
      </c>
      <c r="O1" s="1" t="s">
        <v>286</v>
      </c>
      <c r="P1" s="9" t="s">
        <v>8</v>
      </c>
      <c r="Q1" s="1" t="s">
        <v>287</v>
      </c>
    </row>
    <row r="2" spans="1:17" x14ac:dyDescent="0.3">
      <c r="A2" t="s">
        <v>9</v>
      </c>
      <c r="C2" t="str">
        <f>IF(Table14[[#This Row],[Name]]="","Unknown",Table14[[#This Row],[Name]])</f>
        <v>Unknown</v>
      </c>
      <c r="D2" t="s">
        <v>166</v>
      </c>
      <c r="E2" t="str">
        <f>IF(Table14[[#This Row],[Department]]="","Unknown",Table14[[#This Row],[Department]])</f>
        <v>Finance</v>
      </c>
      <c r="G2" t="str">
        <f>IF(Table14[[#This Row],[Country]]="","Unknown",Table14[[#This Row],[Country]])</f>
        <v>Unknown</v>
      </c>
      <c r="H2" s="3" t="s">
        <v>177</v>
      </c>
      <c r="I2" s="3">
        <f>IF(Table14[[#This Row],[Salary]]="N/A",AVERAGEIF(Table14[Department2],Table14[[#This Row],[Department2]],Table14[Salary]),H2)</f>
        <v>65604.55</v>
      </c>
      <c r="K2" s="5">
        <f>IF(Table14[[#This Row],[Date of Joining]]="",MEDIAN(Table14[Date of Joining]),Table14[[#This Row],[Date of Joining]])</f>
        <v>42533</v>
      </c>
      <c r="L2" s="10">
        <v>2</v>
      </c>
      <c r="M2" s="10">
        <f>IF(Table14[[#This Row],[Performance Rating]]="",0,Table14[[#This Row],[Performance Rating]])</f>
        <v>2</v>
      </c>
      <c r="N2" t="s">
        <v>178</v>
      </c>
      <c r="O2" t="str">
        <f>IF(Table14[[#This Row],[Gender]]="","Unknown",N2)</f>
        <v>Unknown</v>
      </c>
      <c r="P2" t="s">
        <v>182</v>
      </c>
      <c r="Q2" t="str">
        <f>IF(Table14[[#This Row],[Email]]="invalid_email","Unknown",P2)</f>
        <v>Unknown</v>
      </c>
    </row>
    <row r="3" spans="1:17" x14ac:dyDescent="0.3">
      <c r="A3" t="s">
        <v>10</v>
      </c>
      <c r="B3" t="s">
        <v>159</v>
      </c>
      <c r="C3" t="str">
        <f>IF(Table14[[#This Row],[Name]]="","Unknown",Table14[[#This Row],[Name]])</f>
        <v>Eve Adams</v>
      </c>
      <c r="D3" t="s">
        <v>167</v>
      </c>
      <c r="E3" t="str">
        <f>IF(Table14[[#This Row],[Department]]="","Unknown",Table14[[#This Row],[Department]])</f>
        <v>HR</v>
      </c>
      <c r="F3" t="s">
        <v>172</v>
      </c>
      <c r="G3" t="str">
        <f>IF(Table14[[#This Row],[Country]]="","Unknown",Table14[[#This Row],[Country]])</f>
        <v>Germany</v>
      </c>
      <c r="H3" s="3">
        <v>54255</v>
      </c>
      <c r="I3" s="3">
        <f>IF(Table14[[#This Row],[Salary]]="N/A",AVERAGEIF(Table14[Department2],Table14[[#This Row],[Department2]],Table14[Salary]),H3)</f>
        <v>54255</v>
      </c>
      <c r="J3" s="5">
        <v>42015</v>
      </c>
      <c r="K3" s="5">
        <f>IF(Table14[[#This Row],[Date of Joining]]="",MEDIAN(Table14[Date of Joining]),Table14[[#This Row],[Date of Joining]])</f>
        <v>42015</v>
      </c>
      <c r="L3" s="10">
        <v>1</v>
      </c>
      <c r="M3" s="10">
        <f>IF(Table14[[#This Row],[Performance Rating]]="",0,Table14[[#This Row],[Performance Rating]])</f>
        <v>1</v>
      </c>
      <c r="N3" t="s">
        <v>179</v>
      </c>
      <c r="O3" t="str">
        <f>IF(Table14[[#This Row],[Gender]]="","Unknown",N3)</f>
        <v>Other</v>
      </c>
      <c r="P3" t="s">
        <v>183</v>
      </c>
      <c r="Q3" t="str">
        <f>IF(Table14[[#This Row],[Email]]="invalid_email","Unknown",P3)</f>
        <v>user106@example.com</v>
      </c>
    </row>
    <row r="4" spans="1:17" x14ac:dyDescent="0.3">
      <c r="A4" t="s">
        <v>11</v>
      </c>
      <c r="B4" t="s">
        <v>160</v>
      </c>
      <c r="C4" t="str">
        <f>IF(Table14[[#This Row],[Name]]="","Unknown",Table14[[#This Row],[Name]])</f>
        <v>Alice Brown</v>
      </c>
      <c r="D4" t="s">
        <v>166</v>
      </c>
      <c r="E4" t="str">
        <f>IF(Table14[[#This Row],[Department]]="","Unknown",Table14[[#This Row],[Department]])</f>
        <v>Finance</v>
      </c>
      <c r="F4" t="s">
        <v>172</v>
      </c>
      <c r="G4" t="str">
        <f>IF(Table14[[#This Row],[Country]]="","Unknown",Table14[[#This Row],[Country]])</f>
        <v>Germany</v>
      </c>
      <c r="H4" s="3">
        <v>63184</v>
      </c>
      <c r="I4" s="3">
        <f>IF(Table14[[#This Row],[Salary]]="N/A",AVERAGEIF(Table14[Department2],Table14[[#This Row],[Department2]],Table14[Salary]),H4)</f>
        <v>63184</v>
      </c>
      <c r="J4" s="5">
        <v>42022</v>
      </c>
      <c r="K4" s="5">
        <f>IF(Table14[[#This Row],[Date of Joining]]="",MEDIAN(Table14[Date of Joining]),Table14[[#This Row],[Date of Joining]])</f>
        <v>42022</v>
      </c>
      <c r="L4" s="10">
        <v>2</v>
      </c>
      <c r="M4" s="10">
        <f>IF(Table14[[#This Row],[Performance Rating]]="",0,Table14[[#This Row],[Performance Rating]])</f>
        <v>2</v>
      </c>
      <c r="O4" t="str">
        <f>IF(Table14[[#This Row],[Gender]]="","Unknown",N4)</f>
        <v>Unknown</v>
      </c>
      <c r="P4" t="s">
        <v>184</v>
      </c>
      <c r="Q4" t="str">
        <f>IF(Table14[[#This Row],[Email]]="invalid_email","Unknown",P4)</f>
        <v>user176@example.com</v>
      </c>
    </row>
    <row r="5" spans="1:17" x14ac:dyDescent="0.3">
      <c r="A5" t="s">
        <v>12</v>
      </c>
      <c r="B5" t="s">
        <v>161</v>
      </c>
      <c r="C5" t="str">
        <f>IF(Table14[[#This Row],[Name]]="","Unknown",Table14[[#This Row],[Name]])</f>
        <v>John Doe</v>
      </c>
      <c r="D5" t="s">
        <v>168</v>
      </c>
      <c r="E5" t="str">
        <f>IF(Table14[[#This Row],[Department]]="","Unknown",Table14[[#This Row],[Department]])</f>
        <v>Sales</v>
      </c>
      <c r="F5" t="s">
        <v>173</v>
      </c>
      <c r="G5" t="str">
        <f>IF(Table14[[#This Row],[Country]]="","Unknown",Table14[[#This Row],[Country]])</f>
        <v>USA</v>
      </c>
      <c r="H5" s="3">
        <v>94406</v>
      </c>
      <c r="I5" s="3">
        <f>IF(Table14[[#This Row],[Salary]]="N/A",AVERAGEIF(Table14[Department2],Table14[[#This Row],[Department2]],Table14[Salary]),H5)</f>
        <v>94406</v>
      </c>
      <c r="J5" s="5">
        <v>42029</v>
      </c>
      <c r="K5" s="5">
        <f>IF(Table14[[#This Row],[Date of Joining]]="",MEDIAN(Table14[Date of Joining]),Table14[[#This Row],[Date of Joining]])</f>
        <v>42029</v>
      </c>
      <c r="L5" s="10">
        <v>1</v>
      </c>
      <c r="M5" s="10">
        <f>IF(Table14[[#This Row],[Performance Rating]]="",0,Table14[[#This Row],[Performance Rating]])</f>
        <v>1</v>
      </c>
      <c r="N5" t="s">
        <v>180</v>
      </c>
      <c r="O5" t="str">
        <f>IF(Table14[[#This Row],[Gender]]="","Unknown",N5)</f>
        <v>Male</v>
      </c>
      <c r="P5" t="s">
        <v>185</v>
      </c>
      <c r="Q5" t="str">
        <f>IF(Table14[[#This Row],[Email]]="invalid_email","Unknown",P5)</f>
        <v>user168@example.com</v>
      </c>
    </row>
    <row r="6" spans="1:17" x14ac:dyDescent="0.3">
      <c r="A6" t="s">
        <v>13</v>
      </c>
      <c r="B6" t="s">
        <v>162</v>
      </c>
      <c r="C6" t="str">
        <f>IF(Table14[[#This Row],[Name]]="","Unknown",Table14[[#This Row],[Name]])</f>
        <v>Jane Smith</v>
      </c>
      <c r="D6" t="s">
        <v>168</v>
      </c>
      <c r="E6" t="str">
        <f>IF(Table14[[#This Row],[Department]]="","Unknown",Table14[[#This Row],[Department]])</f>
        <v>Sales</v>
      </c>
      <c r="F6" t="s">
        <v>172</v>
      </c>
      <c r="G6" t="str">
        <f>IF(Table14[[#This Row],[Country]]="","Unknown",Table14[[#This Row],[Country]])</f>
        <v>Germany</v>
      </c>
      <c r="H6" s="3">
        <v>64120</v>
      </c>
      <c r="I6" s="3">
        <f>IF(Table14[[#This Row],[Salary]]="N/A",AVERAGEIF(Table14[Department2],Table14[[#This Row],[Department2]],Table14[Salary]),H6)</f>
        <v>64120</v>
      </c>
      <c r="J6" s="5">
        <v>42036</v>
      </c>
      <c r="K6" s="5">
        <f>IF(Table14[[#This Row],[Date of Joining]]="",MEDIAN(Table14[Date of Joining]),Table14[[#This Row],[Date of Joining]])</f>
        <v>42036</v>
      </c>
      <c r="L6" s="10">
        <v>1</v>
      </c>
      <c r="M6" s="10">
        <f>IF(Table14[[#This Row],[Performance Rating]]="",0,Table14[[#This Row],[Performance Rating]])</f>
        <v>1</v>
      </c>
      <c r="N6" t="s">
        <v>180</v>
      </c>
      <c r="O6" t="str">
        <f>IF(Table14[[#This Row],[Gender]]="","Unknown",N6)</f>
        <v>Male</v>
      </c>
      <c r="P6" t="s">
        <v>186</v>
      </c>
      <c r="Q6" t="str">
        <f>IF(Table14[[#This Row],[Email]]="invalid_email","Unknown",P6)</f>
        <v>user49@example.com</v>
      </c>
    </row>
    <row r="7" spans="1:17" x14ac:dyDescent="0.3">
      <c r="A7" t="s">
        <v>14</v>
      </c>
      <c r="B7" t="s">
        <v>160</v>
      </c>
      <c r="C7" t="str">
        <f>IF(Table14[[#This Row],[Name]]="","Unknown",Table14[[#This Row],[Name]])</f>
        <v>Alice Brown</v>
      </c>
      <c r="D7" t="s">
        <v>169</v>
      </c>
      <c r="E7" t="str">
        <f>IF(Table14[[#This Row],[Department]]="","Unknown",Table14[[#This Row],[Department]])</f>
        <v>IT</v>
      </c>
      <c r="F7" t="s">
        <v>174</v>
      </c>
      <c r="G7" t="str">
        <f>IF(Table14[[#This Row],[Country]]="","Unknown",Table14[[#This Row],[Country]])</f>
        <v>India</v>
      </c>
      <c r="H7" s="3">
        <v>78421</v>
      </c>
      <c r="I7" s="3">
        <f>IF(Table14[[#This Row],[Salary]]="N/A",AVERAGEIF(Table14[Department2],Table14[[#This Row],[Department2]],Table14[Salary]),H7)</f>
        <v>78421</v>
      </c>
      <c r="J7" s="5">
        <v>42043</v>
      </c>
      <c r="K7" s="5">
        <f>IF(Table14[[#This Row],[Date of Joining]]="",MEDIAN(Table14[Date of Joining]),Table14[[#This Row],[Date of Joining]])</f>
        <v>42043</v>
      </c>
      <c r="L7" s="10">
        <v>2</v>
      </c>
      <c r="M7" s="10">
        <f>IF(Table14[[#This Row],[Performance Rating]]="",0,Table14[[#This Row],[Performance Rating]])</f>
        <v>2</v>
      </c>
      <c r="N7" t="s">
        <v>181</v>
      </c>
      <c r="O7" t="str">
        <f>IF(Table14[[#This Row],[Gender]]="","Unknown",N7)</f>
        <v>Female</v>
      </c>
      <c r="P7" t="s">
        <v>187</v>
      </c>
      <c r="Q7" t="str">
        <f>IF(Table14[[#This Row],[Email]]="invalid_email","Unknown",P7)</f>
        <v>user24@example.com</v>
      </c>
    </row>
    <row r="8" spans="1:17" x14ac:dyDescent="0.3">
      <c r="A8" t="s">
        <v>15</v>
      </c>
      <c r="B8" t="s">
        <v>163</v>
      </c>
      <c r="C8" t="str">
        <f>IF(Table14[[#This Row],[Name]]="","Unknown",Table14[[#This Row],[Name]])</f>
        <v>Sam Wilson</v>
      </c>
      <c r="D8" t="s">
        <v>168</v>
      </c>
      <c r="E8" t="str">
        <f>IF(Table14[[#This Row],[Department]]="","Unknown",Table14[[#This Row],[Department]])</f>
        <v>Sales</v>
      </c>
      <c r="G8" t="str">
        <f>IF(Table14[[#This Row],[Country]]="","Unknown",Table14[[#This Row],[Country]])</f>
        <v>Unknown</v>
      </c>
      <c r="H8" s="3">
        <v>67721</v>
      </c>
      <c r="I8" s="3">
        <f>IF(Table14[[#This Row],[Salary]]="N/A",AVERAGEIF(Table14[Department2],Table14[[#This Row],[Department2]],Table14[Salary]),H8)</f>
        <v>67721</v>
      </c>
      <c r="J8" s="5">
        <v>42050</v>
      </c>
      <c r="K8" s="5">
        <f>IF(Table14[[#This Row],[Date of Joining]]="",MEDIAN(Table14[Date of Joining]),Table14[[#This Row],[Date of Joining]])</f>
        <v>42050</v>
      </c>
      <c r="L8" s="10"/>
      <c r="M8" s="10">
        <f>IF(Table14[[#This Row],[Performance Rating]]="",0,Table14[[#This Row],[Performance Rating]])</f>
        <v>0</v>
      </c>
      <c r="N8" t="s">
        <v>180</v>
      </c>
      <c r="O8" t="str">
        <f>IF(Table14[[#This Row],[Gender]]="","Unknown",N8)</f>
        <v>Male</v>
      </c>
      <c r="P8" t="s">
        <v>185</v>
      </c>
      <c r="Q8" t="str">
        <f>IF(Table14[[#This Row],[Email]]="invalid_email","Unknown",P8)</f>
        <v>user168@example.com</v>
      </c>
    </row>
    <row r="9" spans="1:17" x14ac:dyDescent="0.3">
      <c r="A9" t="s">
        <v>16</v>
      </c>
      <c r="B9" t="s">
        <v>164</v>
      </c>
      <c r="C9" t="str">
        <f>IF(Table14[[#This Row],[Name]]="","Unknown",Table14[[#This Row],[Name]])</f>
        <v>Chris Lee</v>
      </c>
      <c r="D9" t="s">
        <v>170</v>
      </c>
      <c r="E9" t="str">
        <f>IF(Table14[[#This Row],[Department]]="","Unknown",Table14[[#This Row],[Department]])</f>
        <v>Marketing</v>
      </c>
      <c r="G9" t="str">
        <f>IF(Table14[[#This Row],[Country]]="","Unknown",Table14[[#This Row],[Country]])</f>
        <v>Unknown</v>
      </c>
      <c r="H9" s="3">
        <v>35364</v>
      </c>
      <c r="I9" s="3">
        <f>IF(Table14[[#This Row],[Salary]]="N/A",AVERAGEIF(Table14[Department2],Table14[[#This Row],[Department2]],Table14[Salary]),H9)</f>
        <v>35364</v>
      </c>
      <c r="J9" s="5">
        <v>42057</v>
      </c>
      <c r="K9" s="5">
        <f>IF(Table14[[#This Row],[Date of Joining]]="",MEDIAN(Table14[Date of Joining]),Table14[[#This Row],[Date of Joining]])</f>
        <v>42057</v>
      </c>
      <c r="L9" s="10">
        <v>2</v>
      </c>
      <c r="M9" s="10">
        <f>IF(Table14[[#This Row],[Performance Rating]]="",0,Table14[[#This Row],[Performance Rating]])</f>
        <v>2</v>
      </c>
      <c r="N9" t="s">
        <v>179</v>
      </c>
      <c r="O9" t="str">
        <f>IF(Table14[[#This Row],[Gender]]="","Unknown",N9)</f>
        <v>Other</v>
      </c>
      <c r="P9" t="s">
        <v>188</v>
      </c>
      <c r="Q9" t="str">
        <f>IF(Table14[[#This Row],[Email]]="invalid_email","Unknown",P9)</f>
        <v>user26@example.com</v>
      </c>
    </row>
    <row r="10" spans="1:17" x14ac:dyDescent="0.3">
      <c r="A10" t="s">
        <v>17</v>
      </c>
      <c r="B10" t="s">
        <v>160</v>
      </c>
      <c r="C10" t="str">
        <f>IF(Table14[[#This Row],[Name]]="","Unknown",Table14[[#This Row],[Name]])</f>
        <v>Alice Brown</v>
      </c>
      <c r="D10" t="s">
        <v>169</v>
      </c>
      <c r="E10" t="str">
        <f>IF(Table14[[#This Row],[Department]]="","Unknown",Table14[[#This Row],[Department]])</f>
        <v>IT</v>
      </c>
      <c r="F10" t="s">
        <v>172</v>
      </c>
      <c r="G10" t="str">
        <f>IF(Table14[[#This Row],[Country]]="","Unknown",Table14[[#This Row],[Country]])</f>
        <v>Germany</v>
      </c>
      <c r="H10" s="3">
        <v>97881</v>
      </c>
      <c r="I10" s="3">
        <f>IF(Table14[[#This Row],[Salary]]="N/A",AVERAGEIF(Table14[Department2],Table14[[#This Row],[Department2]],Table14[Salary]),H10)</f>
        <v>97881</v>
      </c>
      <c r="J10" s="5">
        <v>42064</v>
      </c>
      <c r="K10" s="5">
        <f>IF(Table14[[#This Row],[Date of Joining]]="",MEDIAN(Table14[Date of Joining]),Table14[[#This Row],[Date of Joining]])</f>
        <v>42064</v>
      </c>
      <c r="L10" s="10"/>
      <c r="M10" s="10">
        <f>IF(Table14[[#This Row],[Performance Rating]]="",0,Table14[[#This Row],[Performance Rating]])</f>
        <v>0</v>
      </c>
      <c r="N10" t="s">
        <v>181</v>
      </c>
      <c r="O10" t="str">
        <f>IF(Table14[[#This Row],[Gender]]="","Unknown",N10)</f>
        <v>Female</v>
      </c>
      <c r="P10" t="s">
        <v>189</v>
      </c>
      <c r="Q10" t="str">
        <f>IF(Table14[[#This Row],[Email]]="invalid_email","Unknown",P10)</f>
        <v>user25@example.com</v>
      </c>
    </row>
    <row r="11" spans="1:17" x14ac:dyDescent="0.3">
      <c r="A11" t="s">
        <v>18</v>
      </c>
      <c r="B11" t="s">
        <v>164</v>
      </c>
      <c r="C11" t="str">
        <f>IF(Table14[[#This Row],[Name]]="","Unknown",Table14[[#This Row],[Name]])</f>
        <v>Chris Lee</v>
      </c>
      <c r="D11" t="s">
        <v>167</v>
      </c>
      <c r="E11" t="str">
        <f>IF(Table14[[#This Row],[Department]]="","Unknown",Table14[[#This Row],[Department]])</f>
        <v>HR</v>
      </c>
      <c r="F11" t="s">
        <v>175</v>
      </c>
      <c r="G11" t="str">
        <f>IF(Table14[[#This Row],[Country]]="","Unknown",Table14[[#This Row],[Country]])</f>
        <v>UK</v>
      </c>
      <c r="H11" s="3">
        <v>91846</v>
      </c>
      <c r="I11" s="3">
        <f>IF(Table14[[#This Row],[Salary]]="N/A",AVERAGEIF(Table14[Department2],Table14[[#This Row],[Department2]],Table14[Salary]),H11)</f>
        <v>91846</v>
      </c>
      <c r="J11" s="5">
        <v>42071</v>
      </c>
      <c r="K11" s="5">
        <f>IF(Table14[[#This Row],[Date of Joining]]="",MEDIAN(Table14[Date of Joining]),Table14[[#This Row],[Date of Joining]])</f>
        <v>42071</v>
      </c>
      <c r="L11" s="10"/>
      <c r="M11" s="10">
        <f>IF(Table14[[#This Row],[Performance Rating]]="",0,Table14[[#This Row],[Performance Rating]])</f>
        <v>0</v>
      </c>
      <c r="N11" t="s">
        <v>180</v>
      </c>
      <c r="O11" t="str">
        <f>IF(Table14[[#This Row],[Gender]]="","Unknown",N11)</f>
        <v>Male</v>
      </c>
      <c r="P11" t="s">
        <v>190</v>
      </c>
      <c r="Q11" t="str">
        <f>IF(Table14[[#This Row],[Email]]="invalid_email","Unknown",P11)</f>
        <v>user153@example.com</v>
      </c>
    </row>
    <row r="12" spans="1:17" x14ac:dyDescent="0.3">
      <c r="A12" t="s">
        <v>19</v>
      </c>
      <c r="B12" t="s">
        <v>163</v>
      </c>
      <c r="C12" t="str">
        <f>IF(Table14[[#This Row],[Name]]="","Unknown",Table14[[#This Row],[Name]])</f>
        <v>Sam Wilson</v>
      </c>
      <c r="D12" t="s">
        <v>166</v>
      </c>
      <c r="E12" t="str">
        <f>IF(Table14[[#This Row],[Department]]="","Unknown",Table14[[#This Row],[Department]])</f>
        <v>Finance</v>
      </c>
      <c r="F12" t="s">
        <v>175</v>
      </c>
      <c r="G12" t="str">
        <f>IF(Table14[[#This Row],[Country]]="","Unknown",Table14[[#This Row],[Country]])</f>
        <v>UK</v>
      </c>
      <c r="H12" s="3">
        <v>64247</v>
      </c>
      <c r="I12" s="3">
        <f>IF(Table14[[#This Row],[Salary]]="N/A",AVERAGEIF(Table14[Department2],Table14[[#This Row],[Department2]],Table14[Salary]),H12)</f>
        <v>64247</v>
      </c>
      <c r="J12" s="5">
        <v>42078</v>
      </c>
      <c r="K12" s="5">
        <f>IF(Table14[[#This Row],[Date of Joining]]="",MEDIAN(Table14[Date of Joining]),Table14[[#This Row],[Date of Joining]])</f>
        <v>42078</v>
      </c>
      <c r="L12" s="10">
        <v>1</v>
      </c>
      <c r="M12" s="10">
        <f>IF(Table14[[#This Row],[Performance Rating]]="",0,Table14[[#This Row],[Performance Rating]])</f>
        <v>1</v>
      </c>
      <c r="N12" t="s">
        <v>181</v>
      </c>
      <c r="O12" t="str">
        <f>IF(Table14[[#This Row],[Gender]]="","Unknown",N12)</f>
        <v>Female</v>
      </c>
      <c r="P12" t="s">
        <v>191</v>
      </c>
      <c r="Q12" t="str">
        <f>IF(Table14[[#This Row],[Email]]="invalid_email","Unknown",P12)</f>
        <v>user18@example.com</v>
      </c>
    </row>
    <row r="13" spans="1:17" x14ac:dyDescent="0.3">
      <c r="A13" t="s">
        <v>20</v>
      </c>
      <c r="B13" t="s">
        <v>163</v>
      </c>
      <c r="C13" t="str">
        <f>IF(Table14[[#This Row],[Name]]="","Unknown",Table14[[#This Row],[Name]])</f>
        <v>Sam Wilson</v>
      </c>
      <c r="D13" t="s">
        <v>169</v>
      </c>
      <c r="E13" t="str">
        <f>IF(Table14[[#This Row],[Department]]="","Unknown",Table14[[#This Row],[Department]])</f>
        <v>IT</v>
      </c>
      <c r="F13" t="s">
        <v>173</v>
      </c>
      <c r="G13" t="str">
        <f>IF(Table14[[#This Row],[Country]]="","Unknown",Table14[[#This Row],[Country]])</f>
        <v>USA</v>
      </c>
      <c r="H13" s="3">
        <v>91180</v>
      </c>
      <c r="I13" s="3">
        <f>IF(Table14[[#This Row],[Salary]]="N/A",AVERAGEIF(Table14[Department2],Table14[[#This Row],[Department2]],Table14[Salary]),H13)</f>
        <v>91180</v>
      </c>
      <c r="J13" s="5">
        <v>42085</v>
      </c>
      <c r="K13" s="5">
        <f>IF(Table14[[#This Row],[Date of Joining]]="",MEDIAN(Table14[Date of Joining]),Table14[[#This Row],[Date of Joining]])</f>
        <v>42085</v>
      </c>
      <c r="L13" s="10">
        <v>5</v>
      </c>
      <c r="M13" s="10">
        <f>IF(Table14[[#This Row],[Performance Rating]]="",0,Table14[[#This Row],[Performance Rating]])</f>
        <v>5</v>
      </c>
      <c r="N13" t="s">
        <v>180</v>
      </c>
      <c r="O13" t="str">
        <f>IF(Table14[[#This Row],[Gender]]="","Unknown",N13)</f>
        <v>Male</v>
      </c>
      <c r="P13" t="s">
        <v>192</v>
      </c>
      <c r="Q13" t="str">
        <f>IF(Table14[[#This Row],[Email]]="invalid_email","Unknown",P13)</f>
        <v>user1@example.com</v>
      </c>
    </row>
    <row r="14" spans="1:17" x14ac:dyDescent="0.3">
      <c r="A14" t="s">
        <v>21</v>
      </c>
      <c r="B14" t="s">
        <v>165</v>
      </c>
      <c r="C14" t="str">
        <f>IF(Table14[[#This Row],[Name]]="","Unknown",Table14[[#This Row],[Name]])</f>
        <v>Bob Johnson</v>
      </c>
      <c r="D14" t="s">
        <v>168</v>
      </c>
      <c r="E14" t="str">
        <f>IF(Table14[[#This Row],[Department]]="","Unknown",Table14[[#This Row],[Department]])</f>
        <v>Sales</v>
      </c>
      <c r="G14" t="str">
        <f>IF(Table14[[#This Row],[Country]]="","Unknown",Table14[[#This Row],[Country]])</f>
        <v>Unknown</v>
      </c>
      <c r="H14" s="3">
        <v>96418</v>
      </c>
      <c r="I14" s="3">
        <f>IF(Table14[[#This Row],[Salary]]="N/A",AVERAGEIF(Table14[Department2],Table14[[#This Row],[Department2]],Table14[Salary]),H14)</f>
        <v>96418</v>
      </c>
      <c r="J14" s="5">
        <v>42092</v>
      </c>
      <c r="K14" s="5">
        <f>IF(Table14[[#This Row],[Date of Joining]]="",MEDIAN(Table14[Date of Joining]),Table14[[#This Row],[Date of Joining]])</f>
        <v>42092</v>
      </c>
      <c r="L14" s="10">
        <v>5</v>
      </c>
      <c r="M14" s="10">
        <f>IF(Table14[[#This Row],[Performance Rating]]="",0,Table14[[#This Row],[Performance Rating]])</f>
        <v>5</v>
      </c>
      <c r="N14" t="s">
        <v>180</v>
      </c>
      <c r="O14" t="str">
        <f>IF(Table14[[#This Row],[Gender]]="","Unknown",N14)</f>
        <v>Male</v>
      </c>
      <c r="P14" t="s">
        <v>183</v>
      </c>
      <c r="Q14" t="str">
        <f>IF(Table14[[#This Row],[Email]]="invalid_email","Unknown",P14)</f>
        <v>user106@example.com</v>
      </c>
    </row>
    <row r="15" spans="1:17" x14ac:dyDescent="0.3">
      <c r="A15" t="s">
        <v>22</v>
      </c>
      <c r="B15" t="s">
        <v>163</v>
      </c>
      <c r="C15" t="str">
        <f>IF(Table14[[#This Row],[Name]]="","Unknown",Table14[[#This Row],[Name]])</f>
        <v>Sam Wilson</v>
      </c>
      <c r="E15" t="str">
        <f>IF(Table14[[#This Row],[Department]]="","Unknown",Table14[[#This Row],[Department]])</f>
        <v>Unknown</v>
      </c>
      <c r="F15" t="s">
        <v>174</v>
      </c>
      <c r="G15" t="str">
        <f>IF(Table14[[#This Row],[Country]]="","Unknown",Table14[[#This Row],[Country]])</f>
        <v>India</v>
      </c>
      <c r="H15" s="3">
        <v>62158</v>
      </c>
      <c r="I15" s="3">
        <f>IF(Table14[[#This Row],[Salary]]="N/A",AVERAGEIF(Table14[Department2],Table14[[#This Row],[Department2]],Table14[Salary]),H15)</f>
        <v>62158</v>
      </c>
      <c r="J15" s="5">
        <v>42099</v>
      </c>
      <c r="K15" s="5">
        <f>IF(Table14[[#This Row],[Date of Joining]]="",MEDIAN(Table14[Date of Joining]),Table14[[#This Row],[Date of Joining]])</f>
        <v>42099</v>
      </c>
      <c r="L15" s="10">
        <v>4</v>
      </c>
      <c r="M15" s="10">
        <f>IF(Table14[[#This Row],[Performance Rating]]="",0,Table14[[#This Row],[Performance Rating]])</f>
        <v>4</v>
      </c>
      <c r="O15" t="str">
        <f>IF(Table14[[#This Row],[Gender]]="","Unknown",N15)</f>
        <v>Unknown</v>
      </c>
      <c r="P15" t="s">
        <v>193</v>
      </c>
      <c r="Q15" t="str">
        <f>IF(Table14[[#This Row],[Email]]="invalid_email","Unknown",P15)</f>
        <v>user180@example.com</v>
      </c>
    </row>
    <row r="16" spans="1:17" x14ac:dyDescent="0.3">
      <c r="A16" t="s">
        <v>23</v>
      </c>
      <c r="B16" t="s">
        <v>162</v>
      </c>
      <c r="C16" t="str">
        <f>IF(Table14[[#This Row],[Name]]="","Unknown",Table14[[#This Row],[Name]])</f>
        <v>Jane Smith</v>
      </c>
      <c r="D16" t="s">
        <v>167</v>
      </c>
      <c r="E16" t="str">
        <f>IF(Table14[[#This Row],[Department]]="","Unknown",Table14[[#This Row],[Department]])</f>
        <v>HR</v>
      </c>
      <c r="G16" t="str">
        <f>IF(Table14[[#This Row],[Country]]="","Unknown",Table14[[#This Row],[Country]])</f>
        <v>Unknown</v>
      </c>
      <c r="H16" s="3">
        <v>59894</v>
      </c>
      <c r="I16" s="3">
        <f>IF(Table14[[#This Row],[Salary]]="N/A",AVERAGEIF(Table14[Department2],Table14[[#This Row],[Department2]],Table14[Salary]),H16)</f>
        <v>59894</v>
      </c>
      <c r="J16" s="5">
        <v>42106</v>
      </c>
      <c r="K16" s="5">
        <f>IF(Table14[[#This Row],[Date of Joining]]="",MEDIAN(Table14[Date of Joining]),Table14[[#This Row],[Date of Joining]])</f>
        <v>42106</v>
      </c>
      <c r="L16" s="10">
        <v>2</v>
      </c>
      <c r="M16" s="10">
        <f>IF(Table14[[#This Row],[Performance Rating]]="",0,Table14[[#This Row],[Performance Rating]])</f>
        <v>2</v>
      </c>
      <c r="N16" t="s">
        <v>180</v>
      </c>
      <c r="O16" t="str">
        <f>IF(Table14[[#This Row],[Gender]]="","Unknown",N16)</f>
        <v>Male</v>
      </c>
      <c r="P16" t="s">
        <v>194</v>
      </c>
      <c r="Q16" t="str">
        <f>IF(Table14[[#This Row],[Email]]="invalid_email","Unknown",P16)</f>
        <v>user184@example.com</v>
      </c>
    </row>
    <row r="17" spans="1:17" x14ac:dyDescent="0.3">
      <c r="A17" t="s">
        <v>24</v>
      </c>
      <c r="C17" t="str">
        <f>IF(Table14[[#This Row],[Name]]="","Unknown",Table14[[#This Row],[Name]])</f>
        <v>Unknown</v>
      </c>
      <c r="D17" t="s">
        <v>169</v>
      </c>
      <c r="E17" t="str">
        <f>IF(Table14[[#This Row],[Department]]="","Unknown",Table14[[#This Row],[Department]])</f>
        <v>IT</v>
      </c>
      <c r="F17" t="s">
        <v>174</v>
      </c>
      <c r="G17" t="str">
        <f>IF(Table14[[#This Row],[Country]]="","Unknown",Table14[[#This Row],[Country]])</f>
        <v>India</v>
      </c>
      <c r="H17" s="3">
        <v>92443</v>
      </c>
      <c r="I17" s="3">
        <f>IF(Table14[[#This Row],[Salary]]="N/A",AVERAGEIF(Table14[Department2],Table14[[#This Row],[Department2]],Table14[Salary]),H17)</f>
        <v>92443</v>
      </c>
      <c r="J17" s="5">
        <v>42113</v>
      </c>
      <c r="K17" s="5">
        <f>IF(Table14[[#This Row],[Date of Joining]]="",MEDIAN(Table14[Date of Joining]),Table14[[#This Row],[Date of Joining]])</f>
        <v>42113</v>
      </c>
      <c r="L17" s="10">
        <v>3</v>
      </c>
      <c r="M17" s="10">
        <f>IF(Table14[[#This Row],[Performance Rating]]="",0,Table14[[#This Row],[Performance Rating]])</f>
        <v>3</v>
      </c>
      <c r="N17" t="s">
        <v>179</v>
      </c>
      <c r="O17" t="str">
        <f>IF(Table14[[#This Row],[Gender]]="","Unknown",N17)</f>
        <v>Other</v>
      </c>
      <c r="P17" t="s">
        <v>195</v>
      </c>
      <c r="Q17" t="str">
        <f>IF(Table14[[#This Row],[Email]]="invalid_email","Unknown",P17)</f>
        <v>user3@example.com</v>
      </c>
    </row>
    <row r="18" spans="1:17" x14ac:dyDescent="0.3">
      <c r="A18" t="s">
        <v>25</v>
      </c>
      <c r="B18" t="s">
        <v>165</v>
      </c>
      <c r="C18" t="str">
        <f>IF(Table14[[#This Row],[Name]]="","Unknown",Table14[[#This Row],[Name]])</f>
        <v>Bob Johnson</v>
      </c>
      <c r="E18" t="str">
        <f>IF(Table14[[#This Row],[Department]]="","Unknown",Table14[[#This Row],[Department]])</f>
        <v>Unknown</v>
      </c>
      <c r="F18" t="s">
        <v>172</v>
      </c>
      <c r="G18" t="str">
        <f>IF(Table14[[#This Row],[Country]]="","Unknown",Table14[[#This Row],[Country]])</f>
        <v>Germany</v>
      </c>
      <c r="H18" s="3">
        <v>90271</v>
      </c>
      <c r="I18" s="3">
        <f>IF(Table14[[#This Row],[Salary]]="N/A",AVERAGEIF(Table14[Department2],Table14[[#This Row],[Department2]],Table14[Salary]),H18)</f>
        <v>90271</v>
      </c>
      <c r="J18" s="5">
        <v>42120</v>
      </c>
      <c r="K18" s="5">
        <f>IF(Table14[[#This Row],[Date of Joining]]="",MEDIAN(Table14[Date of Joining]),Table14[[#This Row],[Date of Joining]])</f>
        <v>42120</v>
      </c>
      <c r="L18" s="10"/>
      <c r="M18" s="10">
        <f>IF(Table14[[#This Row],[Performance Rating]]="",0,Table14[[#This Row],[Performance Rating]])</f>
        <v>0</v>
      </c>
      <c r="O18" t="str">
        <f>IF(Table14[[#This Row],[Gender]]="","Unknown",N18)</f>
        <v>Unknown</v>
      </c>
      <c r="P18" t="s">
        <v>196</v>
      </c>
      <c r="Q18" t="str">
        <f>IF(Table14[[#This Row],[Email]]="invalid_email","Unknown",P18)</f>
        <v>user64@example.com</v>
      </c>
    </row>
    <row r="19" spans="1:17" x14ac:dyDescent="0.3">
      <c r="A19" t="s">
        <v>26</v>
      </c>
      <c r="B19" t="s">
        <v>162</v>
      </c>
      <c r="C19" t="str">
        <f>IF(Table14[[#This Row],[Name]]="","Unknown",Table14[[#This Row],[Name]])</f>
        <v>Jane Smith</v>
      </c>
      <c r="D19" t="s">
        <v>166</v>
      </c>
      <c r="E19" t="str">
        <f>IF(Table14[[#This Row],[Department]]="","Unknown",Table14[[#This Row],[Department]])</f>
        <v>Finance</v>
      </c>
      <c r="F19" t="s">
        <v>176</v>
      </c>
      <c r="G19" t="str">
        <f>IF(Table14[[#This Row],[Country]]="","Unknown",Table14[[#This Row],[Country]])</f>
        <v>Australia</v>
      </c>
      <c r="H19" s="3">
        <v>41341</v>
      </c>
      <c r="I19" s="3">
        <f>IF(Table14[[#This Row],[Salary]]="N/A",AVERAGEIF(Table14[Department2],Table14[[#This Row],[Department2]],Table14[Salary]),H19)</f>
        <v>41341</v>
      </c>
      <c r="J19" s="5">
        <v>42127</v>
      </c>
      <c r="K19" s="5">
        <f>IF(Table14[[#This Row],[Date of Joining]]="",MEDIAN(Table14[Date of Joining]),Table14[[#This Row],[Date of Joining]])</f>
        <v>42127</v>
      </c>
      <c r="L19" s="10">
        <v>1</v>
      </c>
      <c r="M19" s="10">
        <f>IF(Table14[[#This Row],[Performance Rating]]="",0,Table14[[#This Row],[Performance Rating]])</f>
        <v>1</v>
      </c>
      <c r="N19" t="s">
        <v>179</v>
      </c>
      <c r="O19" t="str">
        <f>IF(Table14[[#This Row],[Gender]]="","Unknown",N19)</f>
        <v>Other</v>
      </c>
      <c r="P19" t="s">
        <v>197</v>
      </c>
      <c r="Q19" t="str">
        <f>IF(Table14[[#This Row],[Email]]="invalid_email","Unknown",P19)</f>
        <v>user38@example.com</v>
      </c>
    </row>
    <row r="20" spans="1:17" x14ac:dyDescent="0.3">
      <c r="A20" t="s">
        <v>27</v>
      </c>
      <c r="B20" t="s">
        <v>160</v>
      </c>
      <c r="C20" t="str">
        <f>IF(Table14[[#This Row],[Name]]="","Unknown",Table14[[#This Row],[Name]])</f>
        <v>Alice Brown</v>
      </c>
      <c r="D20" t="s">
        <v>166</v>
      </c>
      <c r="E20" t="str">
        <f>IF(Table14[[#This Row],[Department]]="","Unknown",Table14[[#This Row],[Department]])</f>
        <v>Finance</v>
      </c>
      <c r="F20" t="s">
        <v>175</v>
      </c>
      <c r="G20" t="str">
        <f>IF(Table14[[#This Row],[Country]]="","Unknown",Table14[[#This Row],[Country]])</f>
        <v>UK</v>
      </c>
      <c r="H20" s="3">
        <v>73602</v>
      </c>
      <c r="I20" s="3">
        <f>IF(Table14[[#This Row],[Salary]]="N/A",AVERAGEIF(Table14[Department2],Table14[[#This Row],[Department2]],Table14[Salary]),H20)</f>
        <v>73602</v>
      </c>
      <c r="J20" s="5">
        <v>42134</v>
      </c>
      <c r="K20" s="5">
        <f>IF(Table14[[#This Row],[Date of Joining]]="",MEDIAN(Table14[Date of Joining]),Table14[[#This Row],[Date of Joining]])</f>
        <v>42134</v>
      </c>
      <c r="L20" s="10"/>
      <c r="M20" s="10">
        <f>IF(Table14[[#This Row],[Performance Rating]]="",0,Table14[[#This Row],[Performance Rating]])</f>
        <v>0</v>
      </c>
      <c r="O20" t="str">
        <f>IF(Table14[[#This Row],[Gender]]="","Unknown",N20)</f>
        <v>Unknown</v>
      </c>
      <c r="P20" t="s">
        <v>198</v>
      </c>
      <c r="Q20" t="str">
        <f>IF(Table14[[#This Row],[Email]]="invalid_email","Unknown",P20)</f>
        <v>user96@example.com</v>
      </c>
    </row>
    <row r="21" spans="1:17" x14ac:dyDescent="0.3">
      <c r="A21" t="s">
        <v>28</v>
      </c>
      <c r="B21" t="s">
        <v>159</v>
      </c>
      <c r="C21" t="str">
        <f>IF(Table14[[#This Row],[Name]]="","Unknown",Table14[[#This Row],[Name]])</f>
        <v>Eve Adams</v>
      </c>
      <c r="E21" t="str">
        <f>IF(Table14[[#This Row],[Department]]="","Unknown",Table14[[#This Row],[Department]])</f>
        <v>Unknown</v>
      </c>
      <c r="F21" t="s">
        <v>174</v>
      </c>
      <c r="G21" t="str">
        <f>IF(Table14[[#This Row],[Country]]="","Unknown",Table14[[#This Row],[Country]])</f>
        <v>India</v>
      </c>
      <c r="H21" s="3">
        <v>67531</v>
      </c>
      <c r="I21" s="3">
        <f>IF(Table14[[#This Row],[Salary]]="N/A",AVERAGEIF(Table14[Department2],Table14[[#This Row],[Department2]],Table14[Salary]),H21)</f>
        <v>67531</v>
      </c>
      <c r="J21" s="5">
        <v>42141</v>
      </c>
      <c r="K21" s="5">
        <f>IF(Table14[[#This Row],[Date of Joining]]="",MEDIAN(Table14[Date of Joining]),Table14[[#This Row],[Date of Joining]])</f>
        <v>42141</v>
      </c>
      <c r="L21" s="10">
        <v>5</v>
      </c>
      <c r="M21" s="10">
        <f>IF(Table14[[#This Row],[Performance Rating]]="",0,Table14[[#This Row],[Performance Rating]])</f>
        <v>5</v>
      </c>
      <c r="N21" t="s">
        <v>181</v>
      </c>
      <c r="O21" t="str">
        <f>IF(Table14[[#This Row],[Gender]]="","Unknown",N21)</f>
        <v>Female</v>
      </c>
      <c r="P21" t="s">
        <v>199</v>
      </c>
      <c r="Q21" t="str">
        <f>IF(Table14[[#This Row],[Email]]="invalid_email","Unknown",P21)</f>
        <v>user151@example.com</v>
      </c>
    </row>
    <row r="22" spans="1:17" x14ac:dyDescent="0.3">
      <c r="A22" t="s">
        <v>29</v>
      </c>
      <c r="B22" t="s">
        <v>162</v>
      </c>
      <c r="C22" t="str">
        <f>IF(Table14[[#This Row],[Name]]="","Unknown",Table14[[#This Row],[Name]])</f>
        <v>Jane Smith</v>
      </c>
      <c r="D22" t="s">
        <v>167</v>
      </c>
      <c r="E22" t="str">
        <f>IF(Table14[[#This Row],[Department]]="","Unknown",Table14[[#This Row],[Department]])</f>
        <v>HR</v>
      </c>
      <c r="F22" t="s">
        <v>173</v>
      </c>
      <c r="G22" t="str">
        <f>IF(Table14[[#This Row],[Country]]="","Unknown",Table14[[#This Row],[Country]])</f>
        <v>USA</v>
      </c>
      <c r="H22" s="3" t="s">
        <v>177</v>
      </c>
      <c r="I22" s="3">
        <f>IF(Table14[[#This Row],[Salary]]="N/A",AVERAGEIF(Table14[Department2],Table14[[#This Row],[Department2]],Table14[Salary]),H22)</f>
        <v>67834.565217391311</v>
      </c>
      <c r="J22" s="5">
        <v>42148</v>
      </c>
      <c r="K22" s="5">
        <f>IF(Table14[[#This Row],[Date of Joining]]="",MEDIAN(Table14[Date of Joining]),Table14[[#This Row],[Date of Joining]])</f>
        <v>42148</v>
      </c>
      <c r="L22" s="10">
        <v>2</v>
      </c>
      <c r="M22" s="10">
        <f>IF(Table14[[#This Row],[Performance Rating]]="",0,Table14[[#This Row],[Performance Rating]])</f>
        <v>2</v>
      </c>
      <c r="N22" t="s">
        <v>179</v>
      </c>
      <c r="O22" t="str">
        <f>IF(Table14[[#This Row],[Gender]]="","Unknown",N22)</f>
        <v>Other</v>
      </c>
      <c r="P22" t="s">
        <v>200</v>
      </c>
      <c r="Q22" t="str">
        <f>IF(Table14[[#This Row],[Email]]="invalid_email","Unknown",P22)</f>
        <v>user200@example.com</v>
      </c>
    </row>
    <row r="23" spans="1:17" x14ac:dyDescent="0.3">
      <c r="A23" t="s">
        <v>30</v>
      </c>
      <c r="B23" t="s">
        <v>162</v>
      </c>
      <c r="C23" t="str">
        <f>IF(Table14[[#This Row],[Name]]="","Unknown",Table14[[#This Row],[Name]])</f>
        <v>Jane Smith</v>
      </c>
      <c r="D23" t="s">
        <v>167</v>
      </c>
      <c r="E23" t="str">
        <f>IF(Table14[[#This Row],[Department]]="","Unknown",Table14[[#This Row],[Department]])</f>
        <v>HR</v>
      </c>
      <c r="G23" t="str">
        <f>IF(Table14[[#This Row],[Country]]="","Unknown",Table14[[#This Row],[Country]])</f>
        <v>Unknown</v>
      </c>
      <c r="H23" s="3">
        <v>98922</v>
      </c>
      <c r="I23" s="3">
        <f>IF(Table14[[#This Row],[Salary]]="N/A",AVERAGEIF(Table14[Department2],Table14[[#This Row],[Department2]],Table14[Salary]),H23)</f>
        <v>98922</v>
      </c>
      <c r="J23" s="5">
        <v>42155</v>
      </c>
      <c r="K23" s="5">
        <f>IF(Table14[[#This Row],[Date of Joining]]="",MEDIAN(Table14[Date of Joining]),Table14[[#This Row],[Date of Joining]])</f>
        <v>42155</v>
      </c>
      <c r="L23" s="10">
        <v>4</v>
      </c>
      <c r="M23" s="10">
        <f>IF(Table14[[#This Row],[Performance Rating]]="",0,Table14[[#This Row],[Performance Rating]])</f>
        <v>4</v>
      </c>
      <c r="O23" t="str">
        <f>IF(Table14[[#This Row],[Gender]]="","Unknown",N23)</f>
        <v>Unknown</v>
      </c>
      <c r="P23" t="s">
        <v>201</v>
      </c>
      <c r="Q23" t="str">
        <f>IF(Table14[[#This Row],[Email]]="invalid_email","Unknown",P23)</f>
        <v>user77@example.com</v>
      </c>
    </row>
    <row r="24" spans="1:17" x14ac:dyDescent="0.3">
      <c r="A24" t="s">
        <v>31</v>
      </c>
      <c r="B24" t="s">
        <v>159</v>
      </c>
      <c r="C24" t="str">
        <f>IF(Table14[[#This Row],[Name]]="","Unknown",Table14[[#This Row],[Name]])</f>
        <v>Eve Adams</v>
      </c>
      <c r="D24" t="s">
        <v>166</v>
      </c>
      <c r="E24" t="str">
        <f>IF(Table14[[#This Row],[Department]]="","Unknown",Table14[[#This Row],[Department]])</f>
        <v>Finance</v>
      </c>
      <c r="F24" t="s">
        <v>174</v>
      </c>
      <c r="G24" t="str">
        <f>IF(Table14[[#This Row],[Country]]="","Unknown",Table14[[#This Row],[Country]])</f>
        <v>India</v>
      </c>
      <c r="H24" s="3">
        <v>38333</v>
      </c>
      <c r="I24" s="3">
        <f>IF(Table14[[#This Row],[Salary]]="N/A",AVERAGEIF(Table14[Department2],Table14[[#This Row],[Department2]],Table14[Salary]),H24)</f>
        <v>38333</v>
      </c>
      <c r="J24" s="5">
        <v>42162</v>
      </c>
      <c r="K24" s="5">
        <f>IF(Table14[[#This Row],[Date of Joining]]="",MEDIAN(Table14[Date of Joining]),Table14[[#This Row],[Date of Joining]])</f>
        <v>42162</v>
      </c>
      <c r="L24" s="10">
        <v>5</v>
      </c>
      <c r="M24" s="10">
        <f>IF(Table14[[#This Row],[Performance Rating]]="",0,Table14[[#This Row],[Performance Rating]])</f>
        <v>5</v>
      </c>
      <c r="O24" t="str">
        <f>IF(Table14[[#This Row],[Gender]]="","Unknown",N24)</f>
        <v>Unknown</v>
      </c>
      <c r="P24" t="s">
        <v>202</v>
      </c>
      <c r="Q24" t="str">
        <f>IF(Table14[[#This Row],[Email]]="invalid_email","Unknown",P24)</f>
        <v>user128@example.com</v>
      </c>
    </row>
    <row r="25" spans="1:17" x14ac:dyDescent="0.3">
      <c r="A25" t="s">
        <v>32</v>
      </c>
      <c r="B25" t="s">
        <v>160</v>
      </c>
      <c r="C25" t="str">
        <f>IF(Table14[[#This Row],[Name]]="","Unknown",Table14[[#This Row],[Name]])</f>
        <v>Alice Brown</v>
      </c>
      <c r="D25" t="s">
        <v>170</v>
      </c>
      <c r="E25" t="str">
        <f>IF(Table14[[#This Row],[Department]]="","Unknown",Table14[[#This Row],[Department]])</f>
        <v>Marketing</v>
      </c>
      <c r="F25" t="s">
        <v>175</v>
      </c>
      <c r="G25" t="str">
        <f>IF(Table14[[#This Row],[Country]]="","Unknown",Table14[[#This Row],[Country]])</f>
        <v>UK</v>
      </c>
      <c r="H25" s="3">
        <v>36515</v>
      </c>
      <c r="I25" s="3">
        <f>IF(Table14[[#This Row],[Salary]]="N/A",AVERAGEIF(Table14[Department2],Table14[[#This Row],[Department2]],Table14[Salary]),H25)</f>
        <v>36515</v>
      </c>
      <c r="J25" s="5">
        <v>42169</v>
      </c>
      <c r="K25" s="5">
        <f>IF(Table14[[#This Row],[Date of Joining]]="",MEDIAN(Table14[Date of Joining]),Table14[[#This Row],[Date of Joining]])</f>
        <v>42169</v>
      </c>
      <c r="L25" s="10">
        <v>3</v>
      </c>
      <c r="M25" s="10">
        <f>IF(Table14[[#This Row],[Performance Rating]]="",0,Table14[[#This Row],[Performance Rating]])</f>
        <v>3</v>
      </c>
      <c r="N25" t="s">
        <v>180</v>
      </c>
      <c r="O25" t="str">
        <f>IF(Table14[[#This Row],[Gender]]="","Unknown",N25)</f>
        <v>Male</v>
      </c>
      <c r="P25" t="s">
        <v>203</v>
      </c>
      <c r="Q25" t="str">
        <f>IF(Table14[[#This Row],[Email]]="invalid_email","Unknown",P25)</f>
        <v>user149@example.com</v>
      </c>
    </row>
    <row r="26" spans="1:17" x14ac:dyDescent="0.3">
      <c r="A26" t="s">
        <v>33</v>
      </c>
      <c r="B26" t="s">
        <v>163</v>
      </c>
      <c r="C26" t="str">
        <f>IF(Table14[[#This Row],[Name]]="","Unknown",Table14[[#This Row],[Name]])</f>
        <v>Sam Wilson</v>
      </c>
      <c r="D26" t="s">
        <v>166</v>
      </c>
      <c r="E26" t="str">
        <f>IF(Table14[[#This Row],[Department]]="","Unknown",Table14[[#This Row],[Department]])</f>
        <v>Finance</v>
      </c>
      <c r="G26" t="str">
        <f>IF(Table14[[#This Row],[Country]]="","Unknown",Table14[[#This Row],[Country]])</f>
        <v>Unknown</v>
      </c>
      <c r="H26" s="3">
        <v>91005</v>
      </c>
      <c r="I26" s="3">
        <f>IF(Table14[[#This Row],[Salary]]="N/A",AVERAGEIF(Table14[Department2],Table14[[#This Row],[Department2]],Table14[Salary]),H26)</f>
        <v>91005</v>
      </c>
      <c r="J26" s="5">
        <v>42176</v>
      </c>
      <c r="K26" s="5">
        <f>IF(Table14[[#This Row],[Date of Joining]]="",MEDIAN(Table14[Date of Joining]),Table14[[#This Row],[Date of Joining]])</f>
        <v>42176</v>
      </c>
      <c r="L26" s="10">
        <v>1</v>
      </c>
      <c r="M26" s="10">
        <f>IF(Table14[[#This Row],[Performance Rating]]="",0,Table14[[#This Row],[Performance Rating]])</f>
        <v>1</v>
      </c>
      <c r="N26" t="s">
        <v>179</v>
      </c>
      <c r="O26" t="str">
        <f>IF(Table14[[#This Row],[Gender]]="","Unknown",N26)</f>
        <v>Other</v>
      </c>
      <c r="P26" t="s">
        <v>204</v>
      </c>
      <c r="Q26" t="str">
        <f>IF(Table14[[#This Row],[Email]]="invalid_email","Unknown",P26)</f>
        <v>user122@example.com</v>
      </c>
    </row>
    <row r="27" spans="1:17" x14ac:dyDescent="0.3">
      <c r="A27" t="s">
        <v>34</v>
      </c>
      <c r="B27" t="s">
        <v>164</v>
      </c>
      <c r="C27" t="str">
        <f>IF(Table14[[#This Row],[Name]]="","Unknown",Table14[[#This Row],[Name]])</f>
        <v>Chris Lee</v>
      </c>
      <c r="E27" t="str">
        <f>IF(Table14[[#This Row],[Department]]="","Unknown",Table14[[#This Row],[Department]])</f>
        <v>Unknown</v>
      </c>
      <c r="G27" t="str">
        <f>IF(Table14[[#This Row],[Country]]="","Unknown",Table14[[#This Row],[Country]])</f>
        <v>Unknown</v>
      </c>
      <c r="H27" s="3">
        <v>52272</v>
      </c>
      <c r="I27" s="3">
        <f>IF(Table14[[#This Row],[Salary]]="N/A",AVERAGEIF(Table14[Department2],Table14[[#This Row],[Department2]],Table14[Salary]),H27)</f>
        <v>52272</v>
      </c>
      <c r="J27" s="5">
        <v>42183</v>
      </c>
      <c r="K27" s="5">
        <f>IF(Table14[[#This Row],[Date of Joining]]="",MEDIAN(Table14[Date of Joining]),Table14[[#This Row],[Date of Joining]])</f>
        <v>42183</v>
      </c>
      <c r="L27" s="10">
        <v>3</v>
      </c>
      <c r="M27" s="10">
        <f>IF(Table14[[#This Row],[Performance Rating]]="",0,Table14[[#This Row],[Performance Rating]])</f>
        <v>3</v>
      </c>
      <c r="O27" t="str">
        <f>IF(Table14[[#This Row],[Gender]]="","Unknown",N27)</f>
        <v>Unknown</v>
      </c>
      <c r="P27" t="s">
        <v>205</v>
      </c>
      <c r="Q27" t="str">
        <f>IF(Table14[[#This Row],[Email]]="invalid_email","Unknown",P27)</f>
        <v>user41@example.com</v>
      </c>
    </row>
    <row r="28" spans="1:17" x14ac:dyDescent="0.3">
      <c r="A28" t="s">
        <v>35</v>
      </c>
      <c r="B28" t="s">
        <v>159</v>
      </c>
      <c r="C28" t="str">
        <f>IF(Table14[[#This Row],[Name]]="","Unknown",Table14[[#This Row],[Name]])</f>
        <v>Eve Adams</v>
      </c>
      <c r="D28" t="s">
        <v>168</v>
      </c>
      <c r="E28" t="str">
        <f>IF(Table14[[#This Row],[Department]]="","Unknown",Table14[[#This Row],[Department]])</f>
        <v>Sales</v>
      </c>
      <c r="F28" t="s">
        <v>172</v>
      </c>
      <c r="G28" t="str">
        <f>IF(Table14[[#This Row],[Country]]="","Unknown",Table14[[#This Row],[Country]])</f>
        <v>Germany</v>
      </c>
      <c r="H28" s="3">
        <v>76518</v>
      </c>
      <c r="I28" s="3">
        <f>IF(Table14[[#This Row],[Salary]]="N/A",AVERAGEIF(Table14[Department2],Table14[[#This Row],[Department2]],Table14[Salary]),H28)</f>
        <v>76518</v>
      </c>
      <c r="J28" s="5">
        <v>42190</v>
      </c>
      <c r="K28" s="5">
        <f>IF(Table14[[#This Row],[Date of Joining]]="",MEDIAN(Table14[Date of Joining]),Table14[[#This Row],[Date of Joining]])</f>
        <v>42190</v>
      </c>
      <c r="L28" s="10">
        <v>2</v>
      </c>
      <c r="M28" s="10">
        <f>IF(Table14[[#This Row],[Performance Rating]]="",0,Table14[[#This Row],[Performance Rating]])</f>
        <v>2</v>
      </c>
      <c r="N28" t="s">
        <v>181</v>
      </c>
      <c r="O28" t="str">
        <f>IF(Table14[[#This Row],[Gender]]="","Unknown",N28)</f>
        <v>Female</v>
      </c>
      <c r="P28" t="s">
        <v>206</v>
      </c>
      <c r="Q28" t="str">
        <f>IF(Table14[[#This Row],[Email]]="invalid_email","Unknown",P28)</f>
        <v>user68@example.com</v>
      </c>
    </row>
    <row r="29" spans="1:17" x14ac:dyDescent="0.3">
      <c r="A29" t="s">
        <v>36</v>
      </c>
      <c r="B29" t="s">
        <v>160</v>
      </c>
      <c r="C29" t="str">
        <f>IF(Table14[[#This Row],[Name]]="","Unknown",Table14[[#This Row],[Name]])</f>
        <v>Alice Brown</v>
      </c>
      <c r="D29" t="s">
        <v>169</v>
      </c>
      <c r="E29" t="str">
        <f>IF(Table14[[#This Row],[Department]]="","Unknown",Table14[[#This Row],[Department]])</f>
        <v>IT</v>
      </c>
      <c r="F29" t="s">
        <v>175</v>
      </c>
      <c r="G29" t="str">
        <f>IF(Table14[[#This Row],[Country]]="","Unknown",Table14[[#This Row],[Country]])</f>
        <v>UK</v>
      </c>
      <c r="H29" s="3">
        <v>41448</v>
      </c>
      <c r="I29" s="3">
        <f>IF(Table14[[#This Row],[Salary]]="N/A",AVERAGEIF(Table14[Department2],Table14[[#This Row],[Department2]],Table14[Salary]),H29)</f>
        <v>41448</v>
      </c>
      <c r="J29" s="5">
        <v>42197</v>
      </c>
      <c r="K29" s="5">
        <f>IF(Table14[[#This Row],[Date of Joining]]="",MEDIAN(Table14[Date of Joining]),Table14[[#This Row],[Date of Joining]])</f>
        <v>42197</v>
      </c>
      <c r="L29" s="10">
        <v>3</v>
      </c>
      <c r="M29" s="10">
        <f>IF(Table14[[#This Row],[Performance Rating]]="",0,Table14[[#This Row],[Performance Rating]])</f>
        <v>3</v>
      </c>
      <c r="N29" t="s">
        <v>179</v>
      </c>
      <c r="O29" t="str">
        <f>IF(Table14[[#This Row],[Gender]]="","Unknown",N29)</f>
        <v>Other</v>
      </c>
      <c r="P29" t="s">
        <v>207</v>
      </c>
      <c r="Q29" t="str">
        <f>IF(Table14[[#This Row],[Email]]="invalid_email","Unknown",P29)</f>
        <v>user103@example.com</v>
      </c>
    </row>
    <row r="30" spans="1:17" x14ac:dyDescent="0.3">
      <c r="A30" t="s">
        <v>37</v>
      </c>
      <c r="B30" t="s">
        <v>161</v>
      </c>
      <c r="C30" t="str">
        <f>IF(Table14[[#This Row],[Name]]="","Unknown",Table14[[#This Row],[Name]])</f>
        <v>John Doe</v>
      </c>
      <c r="D30" t="s">
        <v>167</v>
      </c>
      <c r="E30" t="str">
        <f>IF(Table14[[#This Row],[Department]]="","Unknown",Table14[[#This Row],[Department]])</f>
        <v>HR</v>
      </c>
      <c r="F30" t="s">
        <v>175</v>
      </c>
      <c r="G30" t="str">
        <f>IF(Table14[[#This Row],[Country]]="","Unknown",Table14[[#This Row],[Country]])</f>
        <v>UK</v>
      </c>
      <c r="H30" s="3">
        <v>49282</v>
      </c>
      <c r="I30" s="3">
        <f>IF(Table14[[#This Row],[Salary]]="N/A",AVERAGEIF(Table14[Department2],Table14[[#This Row],[Department2]],Table14[Salary]),H30)</f>
        <v>49282</v>
      </c>
      <c r="J30" s="5">
        <v>42204</v>
      </c>
      <c r="K30" s="5">
        <f>IF(Table14[[#This Row],[Date of Joining]]="",MEDIAN(Table14[Date of Joining]),Table14[[#This Row],[Date of Joining]])</f>
        <v>42204</v>
      </c>
      <c r="L30" s="10">
        <v>2</v>
      </c>
      <c r="M30" s="10">
        <f>IF(Table14[[#This Row],[Performance Rating]]="",0,Table14[[#This Row],[Performance Rating]])</f>
        <v>2</v>
      </c>
      <c r="N30" t="s">
        <v>181</v>
      </c>
      <c r="O30" t="str">
        <f>IF(Table14[[#This Row],[Gender]]="","Unknown",N30)</f>
        <v>Female</v>
      </c>
      <c r="P30" t="s">
        <v>208</v>
      </c>
      <c r="Q30" t="str">
        <f>IF(Table14[[#This Row],[Email]]="invalid_email","Unknown",P30)</f>
        <v>user135@example.com</v>
      </c>
    </row>
    <row r="31" spans="1:17" x14ac:dyDescent="0.3">
      <c r="A31" t="s">
        <v>38</v>
      </c>
      <c r="B31" t="s">
        <v>165</v>
      </c>
      <c r="C31" t="str">
        <f>IF(Table14[[#This Row],[Name]]="","Unknown",Table14[[#This Row],[Name]])</f>
        <v>Bob Johnson</v>
      </c>
      <c r="D31" t="s">
        <v>170</v>
      </c>
      <c r="E31" t="str">
        <f>IF(Table14[[#This Row],[Department]]="","Unknown",Table14[[#This Row],[Department]])</f>
        <v>Marketing</v>
      </c>
      <c r="F31" t="s">
        <v>175</v>
      </c>
      <c r="G31" t="str">
        <f>IF(Table14[[#This Row],[Country]]="","Unknown",Table14[[#This Row],[Country]])</f>
        <v>UK</v>
      </c>
      <c r="H31" s="3">
        <v>92959</v>
      </c>
      <c r="I31" s="3">
        <f>IF(Table14[[#This Row],[Salary]]="N/A",AVERAGEIF(Table14[Department2],Table14[[#This Row],[Department2]],Table14[Salary]),H31)</f>
        <v>92959</v>
      </c>
      <c r="J31" s="5">
        <v>42211</v>
      </c>
      <c r="K31" s="5">
        <f>IF(Table14[[#This Row],[Date of Joining]]="",MEDIAN(Table14[Date of Joining]),Table14[[#This Row],[Date of Joining]])</f>
        <v>42211</v>
      </c>
      <c r="L31" s="10">
        <v>5</v>
      </c>
      <c r="M31" s="10">
        <f>IF(Table14[[#This Row],[Performance Rating]]="",0,Table14[[#This Row],[Performance Rating]])</f>
        <v>5</v>
      </c>
      <c r="O31" t="str">
        <f>IF(Table14[[#This Row],[Gender]]="","Unknown",N31)</f>
        <v>Unknown</v>
      </c>
      <c r="P31" t="s">
        <v>209</v>
      </c>
      <c r="Q31" t="str">
        <f>IF(Table14[[#This Row],[Email]]="invalid_email","Unknown",P31)</f>
        <v>user83@example.com</v>
      </c>
    </row>
    <row r="32" spans="1:17" x14ac:dyDescent="0.3">
      <c r="A32" t="s">
        <v>39</v>
      </c>
      <c r="C32" t="str">
        <f>IF(Table14[[#This Row],[Name]]="","Unknown",Table14[[#This Row],[Name]])</f>
        <v>Unknown</v>
      </c>
      <c r="D32" t="s">
        <v>170</v>
      </c>
      <c r="E32" t="str">
        <f>IF(Table14[[#This Row],[Department]]="","Unknown",Table14[[#This Row],[Department]])</f>
        <v>Marketing</v>
      </c>
      <c r="G32" t="str">
        <f>IF(Table14[[#This Row],[Country]]="","Unknown",Table14[[#This Row],[Country]])</f>
        <v>Unknown</v>
      </c>
      <c r="H32" s="3">
        <v>92259</v>
      </c>
      <c r="I32" s="3">
        <f>IF(Table14[[#This Row],[Salary]]="N/A",AVERAGEIF(Table14[Department2],Table14[[#This Row],[Department2]],Table14[Salary]),H32)</f>
        <v>92259</v>
      </c>
      <c r="K32" s="5">
        <f>IF(Table14[[#This Row],[Date of Joining]]="",MEDIAN(Table14[Date of Joining]),Table14[[#This Row],[Date of Joining]])</f>
        <v>42533</v>
      </c>
      <c r="L32" s="10">
        <v>1</v>
      </c>
      <c r="M32" s="10">
        <f>IF(Table14[[#This Row],[Performance Rating]]="",0,Table14[[#This Row],[Performance Rating]])</f>
        <v>1</v>
      </c>
      <c r="N32" t="s">
        <v>178</v>
      </c>
      <c r="O32" t="str">
        <f>IF(Table14[[#This Row],[Gender]]="","Unknown",N32)</f>
        <v>Unknown</v>
      </c>
      <c r="P32" t="s">
        <v>210</v>
      </c>
      <c r="Q32" t="str">
        <f>IF(Table14[[#This Row],[Email]]="invalid_email","Unknown",P32)</f>
        <v>user109@example.com</v>
      </c>
    </row>
    <row r="33" spans="1:17" x14ac:dyDescent="0.3">
      <c r="A33" t="s">
        <v>40</v>
      </c>
      <c r="B33" t="s">
        <v>159</v>
      </c>
      <c r="C33" t="str">
        <f>IF(Table14[[#This Row],[Name]]="","Unknown",Table14[[#This Row],[Name]])</f>
        <v>Eve Adams</v>
      </c>
      <c r="D33" t="s">
        <v>167</v>
      </c>
      <c r="E33" t="str">
        <f>IF(Table14[[#This Row],[Department]]="","Unknown",Table14[[#This Row],[Department]])</f>
        <v>HR</v>
      </c>
      <c r="F33" t="s">
        <v>172</v>
      </c>
      <c r="G33" t="str">
        <f>IF(Table14[[#This Row],[Country]]="","Unknown",Table14[[#This Row],[Country]])</f>
        <v>Germany</v>
      </c>
      <c r="H33" s="3">
        <v>92299</v>
      </c>
      <c r="I33" s="3">
        <f>IF(Table14[[#This Row],[Salary]]="N/A",AVERAGEIF(Table14[Department2],Table14[[#This Row],[Department2]],Table14[Salary]),H33)</f>
        <v>92299</v>
      </c>
      <c r="J33" s="5">
        <v>42225</v>
      </c>
      <c r="K33" s="5">
        <f>IF(Table14[[#This Row],[Date of Joining]]="",MEDIAN(Table14[Date of Joining]),Table14[[#This Row],[Date of Joining]])</f>
        <v>42225</v>
      </c>
      <c r="L33" s="10">
        <v>3</v>
      </c>
      <c r="M33" s="10">
        <f>IF(Table14[[#This Row],[Performance Rating]]="",0,Table14[[#This Row],[Performance Rating]])</f>
        <v>3</v>
      </c>
      <c r="N33" t="s">
        <v>180</v>
      </c>
      <c r="O33" t="str">
        <f>IF(Table14[[#This Row],[Gender]]="","Unknown",N33)</f>
        <v>Male</v>
      </c>
      <c r="P33" t="s">
        <v>211</v>
      </c>
      <c r="Q33" t="str">
        <f>IF(Table14[[#This Row],[Email]]="invalid_email","Unknown",P33)</f>
        <v>user143@example.com</v>
      </c>
    </row>
    <row r="34" spans="1:17" x14ac:dyDescent="0.3">
      <c r="A34" t="s">
        <v>41</v>
      </c>
      <c r="B34" t="s">
        <v>163</v>
      </c>
      <c r="C34" t="str">
        <f>IF(Table14[[#This Row],[Name]]="","Unknown",Table14[[#This Row],[Name]])</f>
        <v>Sam Wilson</v>
      </c>
      <c r="D34" t="s">
        <v>167</v>
      </c>
      <c r="E34" t="str">
        <f>IF(Table14[[#This Row],[Department]]="","Unknown",Table14[[#This Row],[Department]])</f>
        <v>HR</v>
      </c>
      <c r="G34" t="str">
        <f>IF(Table14[[#This Row],[Country]]="","Unknown",Table14[[#This Row],[Country]])</f>
        <v>Unknown</v>
      </c>
      <c r="H34" s="3">
        <v>95586</v>
      </c>
      <c r="I34" s="3">
        <f>IF(Table14[[#This Row],[Salary]]="N/A",AVERAGEIF(Table14[Department2],Table14[[#This Row],[Department2]],Table14[Salary]),H34)</f>
        <v>95586</v>
      </c>
      <c r="J34" s="5">
        <v>42232</v>
      </c>
      <c r="K34" s="5">
        <f>IF(Table14[[#This Row],[Date of Joining]]="",MEDIAN(Table14[Date of Joining]),Table14[[#This Row],[Date of Joining]])</f>
        <v>42232</v>
      </c>
      <c r="L34" s="10">
        <v>3</v>
      </c>
      <c r="M34" s="10">
        <f>IF(Table14[[#This Row],[Performance Rating]]="",0,Table14[[#This Row],[Performance Rating]])</f>
        <v>3</v>
      </c>
      <c r="N34" t="s">
        <v>179</v>
      </c>
      <c r="O34" t="str">
        <f>IF(Table14[[#This Row],[Gender]]="","Unknown",N34)</f>
        <v>Other</v>
      </c>
      <c r="P34" t="s">
        <v>212</v>
      </c>
      <c r="Q34" t="str">
        <f>IF(Table14[[#This Row],[Email]]="invalid_email","Unknown",P34)</f>
        <v>user190@example.com</v>
      </c>
    </row>
    <row r="35" spans="1:17" x14ac:dyDescent="0.3">
      <c r="A35" t="s">
        <v>42</v>
      </c>
      <c r="B35" t="s">
        <v>164</v>
      </c>
      <c r="C35" t="str">
        <f>IF(Table14[[#This Row],[Name]]="","Unknown",Table14[[#This Row],[Name]])</f>
        <v>Chris Lee</v>
      </c>
      <c r="E35" t="str">
        <f>IF(Table14[[#This Row],[Department]]="","Unknown",Table14[[#This Row],[Department]])</f>
        <v>Unknown</v>
      </c>
      <c r="F35" t="s">
        <v>173</v>
      </c>
      <c r="G35" t="str">
        <f>IF(Table14[[#This Row],[Country]]="","Unknown",Table14[[#This Row],[Country]])</f>
        <v>USA</v>
      </c>
      <c r="H35" s="3">
        <v>95367</v>
      </c>
      <c r="I35" s="3">
        <f>IF(Table14[[#This Row],[Salary]]="N/A",AVERAGEIF(Table14[Department2],Table14[[#This Row],[Department2]],Table14[Salary]),H35)</f>
        <v>95367</v>
      </c>
      <c r="J35" s="5">
        <v>42239</v>
      </c>
      <c r="K35" s="5">
        <f>IF(Table14[[#This Row],[Date of Joining]]="",MEDIAN(Table14[Date of Joining]),Table14[[#This Row],[Date of Joining]])</f>
        <v>42239</v>
      </c>
      <c r="L35" s="10"/>
      <c r="M35" s="10">
        <f>IF(Table14[[#This Row],[Performance Rating]]="",0,Table14[[#This Row],[Performance Rating]])</f>
        <v>0</v>
      </c>
      <c r="N35" t="s">
        <v>180</v>
      </c>
      <c r="O35" t="str">
        <f>IF(Table14[[#This Row],[Gender]]="","Unknown",N35)</f>
        <v>Male</v>
      </c>
      <c r="P35" t="s">
        <v>213</v>
      </c>
      <c r="Q35" t="str">
        <f>IF(Table14[[#This Row],[Email]]="invalid_email","Unknown",P35)</f>
        <v>user136@example.com</v>
      </c>
    </row>
    <row r="36" spans="1:17" x14ac:dyDescent="0.3">
      <c r="A36" t="s">
        <v>43</v>
      </c>
      <c r="B36" t="s">
        <v>161</v>
      </c>
      <c r="C36" t="str">
        <f>IF(Table14[[#This Row],[Name]]="","Unknown",Table14[[#This Row],[Name]])</f>
        <v>John Doe</v>
      </c>
      <c r="D36" t="s">
        <v>168</v>
      </c>
      <c r="E36" t="str">
        <f>IF(Table14[[#This Row],[Department]]="","Unknown",Table14[[#This Row],[Department]])</f>
        <v>Sales</v>
      </c>
      <c r="F36" t="s">
        <v>176</v>
      </c>
      <c r="G36" t="str">
        <f>IF(Table14[[#This Row],[Country]]="","Unknown",Table14[[#This Row],[Country]])</f>
        <v>Australia</v>
      </c>
      <c r="H36" s="3">
        <v>79549</v>
      </c>
      <c r="I36" s="3">
        <f>IF(Table14[[#This Row],[Salary]]="N/A",AVERAGEIF(Table14[Department2],Table14[[#This Row],[Department2]],Table14[Salary]),H36)</f>
        <v>79549</v>
      </c>
      <c r="J36" s="5">
        <v>42246</v>
      </c>
      <c r="K36" s="5">
        <f>IF(Table14[[#This Row],[Date of Joining]]="",MEDIAN(Table14[Date of Joining]),Table14[[#This Row],[Date of Joining]])</f>
        <v>42246</v>
      </c>
      <c r="L36" s="10">
        <v>3</v>
      </c>
      <c r="M36" s="10">
        <f>IF(Table14[[#This Row],[Performance Rating]]="",0,Table14[[#This Row],[Performance Rating]])</f>
        <v>3</v>
      </c>
      <c r="O36" t="str">
        <f>IF(Table14[[#This Row],[Gender]]="","Unknown",N36)</f>
        <v>Unknown</v>
      </c>
      <c r="P36" t="s">
        <v>214</v>
      </c>
      <c r="Q36" t="str">
        <f>IF(Table14[[#This Row],[Email]]="invalid_email","Unknown",P36)</f>
        <v>user198@example.com</v>
      </c>
    </row>
    <row r="37" spans="1:17" x14ac:dyDescent="0.3">
      <c r="A37" t="s">
        <v>44</v>
      </c>
      <c r="B37" t="s">
        <v>160</v>
      </c>
      <c r="C37" t="str">
        <f>IF(Table14[[#This Row],[Name]]="","Unknown",Table14[[#This Row],[Name]])</f>
        <v>Alice Brown</v>
      </c>
      <c r="E37" t="str">
        <f>IF(Table14[[#This Row],[Department]]="","Unknown",Table14[[#This Row],[Department]])</f>
        <v>Unknown</v>
      </c>
      <c r="F37" t="s">
        <v>175</v>
      </c>
      <c r="G37" t="str">
        <f>IF(Table14[[#This Row],[Country]]="","Unknown",Table14[[#This Row],[Country]])</f>
        <v>UK</v>
      </c>
      <c r="H37" s="3">
        <v>54463</v>
      </c>
      <c r="I37" s="3">
        <f>IF(Table14[[#This Row],[Salary]]="N/A",AVERAGEIF(Table14[Department2],Table14[[#This Row],[Department2]],Table14[Salary]),H37)</f>
        <v>54463</v>
      </c>
      <c r="J37" s="5">
        <v>42253</v>
      </c>
      <c r="K37" s="5">
        <f>IF(Table14[[#This Row],[Date of Joining]]="",MEDIAN(Table14[Date of Joining]),Table14[[#This Row],[Date of Joining]])</f>
        <v>42253</v>
      </c>
      <c r="L37" s="10">
        <v>4</v>
      </c>
      <c r="M37" s="10">
        <f>IF(Table14[[#This Row],[Performance Rating]]="",0,Table14[[#This Row],[Performance Rating]])</f>
        <v>4</v>
      </c>
      <c r="N37" t="s">
        <v>180</v>
      </c>
      <c r="O37" t="str">
        <f>IF(Table14[[#This Row],[Gender]]="","Unknown",N37)</f>
        <v>Male</v>
      </c>
      <c r="P37" t="s">
        <v>182</v>
      </c>
      <c r="Q37" t="str">
        <f>IF(Table14[[#This Row],[Email]]="invalid_email","Unknown",P37)</f>
        <v>Unknown</v>
      </c>
    </row>
    <row r="38" spans="1:17" x14ac:dyDescent="0.3">
      <c r="A38" t="s">
        <v>45</v>
      </c>
      <c r="B38" t="s">
        <v>160</v>
      </c>
      <c r="C38" t="str">
        <f>IF(Table14[[#This Row],[Name]]="","Unknown",Table14[[#This Row],[Name]])</f>
        <v>Alice Brown</v>
      </c>
      <c r="D38" t="s">
        <v>169</v>
      </c>
      <c r="E38" t="str">
        <f>IF(Table14[[#This Row],[Department]]="","Unknown",Table14[[#This Row],[Department]])</f>
        <v>IT</v>
      </c>
      <c r="F38" t="s">
        <v>173</v>
      </c>
      <c r="G38" t="str">
        <f>IF(Table14[[#This Row],[Country]]="","Unknown",Table14[[#This Row],[Country]])</f>
        <v>USA</v>
      </c>
      <c r="H38" s="3">
        <v>89781</v>
      </c>
      <c r="I38" s="3">
        <f>IF(Table14[[#This Row],[Salary]]="N/A",AVERAGEIF(Table14[Department2],Table14[[#This Row],[Department2]],Table14[Salary]),H38)</f>
        <v>89781</v>
      </c>
      <c r="J38" s="5">
        <v>42260</v>
      </c>
      <c r="K38" s="5">
        <f>IF(Table14[[#This Row],[Date of Joining]]="",MEDIAN(Table14[Date of Joining]),Table14[[#This Row],[Date of Joining]])</f>
        <v>42260</v>
      </c>
      <c r="L38" s="10"/>
      <c r="M38" s="10">
        <f>IF(Table14[[#This Row],[Performance Rating]]="",0,Table14[[#This Row],[Performance Rating]])</f>
        <v>0</v>
      </c>
      <c r="N38" t="s">
        <v>181</v>
      </c>
      <c r="O38" t="str">
        <f>IF(Table14[[#This Row],[Gender]]="","Unknown",N38)</f>
        <v>Female</v>
      </c>
      <c r="P38" t="s">
        <v>215</v>
      </c>
      <c r="Q38" t="str">
        <f>IF(Table14[[#This Row],[Email]]="invalid_email","Unknown",P38)</f>
        <v>user31@example.com</v>
      </c>
    </row>
    <row r="39" spans="1:17" x14ac:dyDescent="0.3">
      <c r="A39" t="s">
        <v>46</v>
      </c>
      <c r="B39" t="s">
        <v>160</v>
      </c>
      <c r="C39" t="str">
        <f>IF(Table14[[#This Row],[Name]]="","Unknown",Table14[[#This Row],[Name]])</f>
        <v>Alice Brown</v>
      </c>
      <c r="D39" t="s">
        <v>167</v>
      </c>
      <c r="E39" t="str">
        <f>IF(Table14[[#This Row],[Department]]="","Unknown",Table14[[#This Row],[Department]])</f>
        <v>HR</v>
      </c>
      <c r="G39" t="str">
        <f>IF(Table14[[#This Row],[Country]]="","Unknown",Table14[[#This Row],[Country]])</f>
        <v>Unknown</v>
      </c>
      <c r="H39" s="3">
        <v>64796</v>
      </c>
      <c r="I39" s="3">
        <f>IF(Table14[[#This Row],[Salary]]="N/A",AVERAGEIF(Table14[Department2],Table14[[#This Row],[Department2]],Table14[Salary]),H39)</f>
        <v>64796</v>
      </c>
      <c r="J39" s="5">
        <v>42267</v>
      </c>
      <c r="K39" s="5">
        <f>IF(Table14[[#This Row],[Date of Joining]]="",MEDIAN(Table14[Date of Joining]),Table14[[#This Row],[Date of Joining]])</f>
        <v>42267</v>
      </c>
      <c r="L39" s="10"/>
      <c r="M39" s="10">
        <f>IF(Table14[[#This Row],[Performance Rating]]="",0,Table14[[#This Row],[Performance Rating]])</f>
        <v>0</v>
      </c>
      <c r="N39" t="s">
        <v>179</v>
      </c>
      <c r="O39" t="str">
        <f>IF(Table14[[#This Row],[Gender]]="","Unknown",N39)</f>
        <v>Other</v>
      </c>
      <c r="P39" t="s">
        <v>216</v>
      </c>
      <c r="Q39" t="str">
        <f>IF(Table14[[#This Row],[Email]]="invalid_email","Unknown",P39)</f>
        <v>user98@example.com</v>
      </c>
    </row>
    <row r="40" spans="1:17" x14ac:dyDescent="0.3">
      <c r="A40" t="s">
        <v>47</v>
      </c>
      <c r="B40" t="s">
        <v>161</v>
      </c>
      <c r="C40" t="str">
        <f>IF(Table14[[#This Row],[Name]]="","Unknown",Table14[[#This Row],[Name]])</f>
        <v>John Doe</v>
      </c>
      <c r="D40" t="s">
        <v>170</v>
      </c>
      <c r="E40" t="str">
        <f>IF(Table14[[#This Row],[Department]]="","Unknown",Table14[[#This Row],[Department]])</f>
        <v>Marketing</v>
      </c>
      <c r="F40" t="s">
        <v>175</v>
      </c>
      <c r="G40" t="str">
        <f>IF(Table14[[#This Row],[Country]]="","Unknown",Table14[[#This Row],[Country]])</f>
        <v>UK</v>
      </c>
      <c r="H40" s="3">
        <v>52093</v>
      </c>
      <c r="I40" s="3">
        <f>IF(Table14[[#This Row],[Salary]]="N/A",AVERAGEIF(Table14[Department2],Table14[[#This Row],[Department2]],Table14[Salary]),H40)</f>
        <v>52093</v>
      </c>
      <c r="J40" s="5">
        <v>42274</v>
      </c>
      <c r="K40" s="5">
        <f>IF(Table14[[#This Row],[Date of Joining]]="",MEDIAN(Table14[Date of Joining]),Table14[[#This Row],[Date of Joining]])</f>
        <v>42274</v>
      </c>
      <c r="L40" s="10">
        <v>5</v>
      </c>
      <c r="M40" s="10">
        <f>IF(Table14[[#This Row],[Performance Rating]]="",0,Table14[[#This Row],[Performance Rating]])</f>
        <v>5</v>
      </c>
      <c r="O40" t="str">
        <f>IF(Table14[[#This Row],[Gender]]="","Unknown",N40)</f>
        <v>Unknown</v>
      </c>
      <c r="P40" t="s">
        <v>217</v>
      </c>
      <c r="Q40" t="str">
        <f>IF(Table14[[#This Row],[Email]]="invalid_email","Unknown",P40)</f>
        <v>user154@example.com</v>
      </c>
    </row>
    <row r="41" spans="1:17" x14ac:dyDescent="0.3">
      <c r="A41" t="s">
        <v>48</v>
      </c>
      <c r="B41" t="s">
        <v>164</v>
      </c>
      <c r="C41" t="str">
        <f>IF(Table14[[#This Row],[Name]]="","Unknown",Table14[[#This Row],[Name]])</f>
        <v>Chris Lee</v>
      </c>
      <c r="D41" t="s">
        <v>167</v>
      </c>
      <c r="E41" t="str">
        <f>IF(Table14[[#This Row],[Department]]="","Unknown",Table14[[#This Row],[Department]])</f>
        <v>HR</v>
      </c>
      <c r="F41" t="s">
        <v>175</v>
      </c>
      <c r="G41" t="str">
        <f>IF(Table14[[#This Row],[Country]]="","Unknown",Table14[[#This Row],[Country]])</f>
        <v>UK</v>
      </c>
      <c r="H41" s="3">
        <v>48224</v>
      </c>
      <c r="I41" s="3">
        <f>IF(Table14[[#This Row],[Salary]]="N/A",AVERAGEIF(Table14[Department2],Table14[[#This Row],[Department2]],Table14[Salary]),H41)</f>
        <v>48224</v>
      </c>
      <c r="J41" s="5">
        <v>42281</v>
      </c>
      <c r="K41" s="5">
        <f>IF(Table14[[#This Row],[Date of Joining]]="",MEDIAN(Table14[Date of Joining]),Table14[[#This Row],[Date of Joining]])</f>
        <v>42281</v>
      </c>
      <c r="L41" s="10">
        <v>3</v>
      </c>
      <c r="M41" s="10">
        <f>IF(Table14[[#This Row],[Performance Rating]]="",0,Table14[[#This Row],[Performance Rating]])</f>
        <v>3</v>
      </c>
      <c r="O41" t="str">
        <f>IF(Table14[[#This Row],[Gender]]="","Unknown",N41)</f>
        <v>Unknown</v>
      </c>
      <c r="P41" t="s">
        <v>218</v>
      </c>
      <c r="Q41" t="str">
        <f>IF(Table14[[#This Row],[Email]]="invalid_email","Unknown",P41)</f>
        <v>user42@example.com</v>
      </c>
    </row>
    <row r="42" spans="1:17" x14ac:dyDescent="0.3">
      <c r="A42" t="s">
        <v>49</v>
      </c>
      <c r="B42" t="s">
        <v>165</v>
      </c>
      <c r="C42" t="str">
        <f>IF(Table14[[#This Row],[Name]]="","Unknown",Table14[[#This Row],[Name]])</f>
        <v>Bob Johnson</v>
      </c>
      <c r="D42" t="s">
        <v>166</v>
      </c>
      <c r="E42" t="str">
        <f>IF(Table14[[#This Row],[Department]]="","Unknown",Table14[[#This Row],[Department]])</f>
        <v>Finance</v>
      </c>
      <c r="F42" t="s">
        <v>175</v>
      </c>
      <c r="G42" t="str">
        <f>IF(Table14[[#This Row],[Country]]="","Unknown",Table14[[#This Row],[Country]])</f>
        <v>UK</v>
      </c>
      <c r="H42" s="3" t="s">
        <v>177</v>
      </c>
      <c r="I42" s="3">
        <f>IF(Table14[[#This Row],[Salary]]="N/A",AVERAGEIF(Table14[Department2],Table14[[#This Row],[Department2]],Table14[Salary]),H42)</f>
        <v>65604.55</v>
      </c>
      <c r="K42" s="5">
        <f>IF(Table14[[#This Row],[Date of Joining]]="",MEDIAN(Table14[Date of Joining]),Table14[[#This Row],[Date of Joining]])</f>
        <v>42533</v>
      </c>
      <c r="L42" s="10">
        <v>4</v>
      </c>
      <c r="M42" s="10">
        <f>IF(Table14[[#This Row],[Performance Rating]]="",0,Table14[[#This Row],[Performance Rating]])</f>
        <v>4</v>
      </c>
      <c r="N42" t="s">
        <v>181</v>
      </c>
      <c r="O42" t="str">
        <f>IF(Table14[[#This Row],[Gender]]="","Unknown",N42)</f>
        <v>Female</v>
      </c>
      <c r="P42" t="s">
        <v>219</v>
      </c>
      <c r="Q42" t="str">
        <f>IF(Table14[[#This Row],[Email]]="invalid_email","Unknown",P42)</f>
        <v>user89@example.com</v>
      </c>
    </row>
    <row r="43" spans="1:17" x14ac:dyDescent="0.3">
      <c r="A43" t="s">
        <v>50</v>
      </c>
      <c r="B43" t="s">
        <v>160</v>
      </c>
      <c r="C43" t="str">
        <f>IF(Table14[[#This Row],[Name]]="","Unknown",Table14[[#This Row],[Name]])</f>
        <v>Alice Brown</v>
      </c>
      <c r="D43" t="s">
        <v>169</v>
      </c>
      <c r="E43" t="str">
        <f>IF(Table14[[#This Row],[Department]]="","Unknown",Table14[[#This Row],[Department]])</f>
        <v>IT</v>
      </c>
      <c r="F43" t="s">
        <v>172</v>
      </c>
      <c r="G43" t="str">
        <f>IF(Table14[[#This Row],[Country]]="","Unknown",Table14[[#This Row],[Country]])</f>
        <v>Germany</v>
      </c>
      <c r="H43" s="3">
        <v>33956</v>
      </c>
      <c r="I43" s="3">
        <f>IF(Table14[[#This Row],[Salary]]="N/A",AVERAGEIF(Table14[Department2],Table14[[#This Row],[Department2]],Table14[Salary]),H43)</f>
        <v>33956</v>
      </c>
      <c r="J43" s="5">
        <v>42295</v>
      </c>
      <c r="K43" s="5">
        <f>IF(Table14[[#This Row],[Date of Joining]]="",MEDIAN(Table14[Date of Joining]),Table14[[#This Row],[Date of Joining]])</f>
        <v>42295</v>
      </c>
      <c r="L43" s="10"/>
      <c r="M43" s="10">
        <f>IF(Table14[[#This Row],[Performance Rating]]="",0,Table14[[#This Row],[Performance Rating]])</f>
        <v>0</v>
      </c>
      <c r="O43" t="str">
        <f>IF(Table14[[#This Row],[Gender]]="","Unknown",N43)</f>
        <v>Unknown</v>
      </c>
      <c r="P43" t="s">
        <v>220</v>
      </c>
      <c r="Q43" t="str">
        <f>IF(Table14[[#This Row],[Email]]="invalid_email","Unknown",P43)</f>
        <v>user47@example.com</v>
      </c>
    </row>
    <row r="44" spans="1:17" x14ac:dyDescent="0.3">
      <c r="A44" t="s">
        <v>51</v>
      </c>
      <c r="B44" t="s">
        <v>165</v>
      </c>
      <c r="C44" t="str">
        <f>IF(Table14[[#This Row],[Name]]="","Unknown",Table14[[#This Row],[Name]])</f>
        <v>Bob Johnson</v>
      </c>
      <c r="E44" t="str">
        <f>IF(Table14[[#This Row],[Department]]="","Unknown",Table14[[#This Row],[Department]])</f>
        <v>Unknown</v>
      </c>
      <c r="F44" t="s">
        <v>176</v>
      </c>
      <c r="G44" t="str">
        <f>IF(Table14[[#This Row],[Country]]="","Unknown",Table14[[#This Row],[Country]])</f>
        <v>Australia</v>
      </c>
      <c r="H44" s="3">
        <v>64913</v>
      </c>
      <c r="I44" s="3">
        <f>IF(Table14[[#This Row],[Salary]]="N/A",AVERAGEIF(Table14[Department2],Table14[[#This Row],[Department2]],Table14[Salary]),H44)</f>
        <v>64913</v>
      </c>
      <c r="J44" s="5">
        <v>42302</v>
      </c>
      <c r="K44" s="5">
        <f>IF(Table14[[#This Row],[Date of Joining]]="",MEDIAN(Table14[Date of Joining]),Table14[[#This Row],[Date of Joining]])</f>
        <v>42302</v>
      </c>
      <c r="L44" s="10">
        <v>1</v>
      </c>
      <c r="M44" s="10">
        <f>IF(Table14[[#This Row],[Performance Rating]]="",0,Table14[[#This Row],[Performance Rating]])</f>
        <v>1</v>
      </c>
      <c r="N44" t="s">
        <v>181</v>
      </c>
      <c r="O44" t="str">
        <f>IF(Table14[[#This Row],[Gender]]="","Unknown",N44)</f>
        <v>Female</v>
      </c>
      <c r="P44" t="s">
        <v>221</v>
      </c>
      <c r="Q44" t="str">
        <f>IF(Table14[[#This Row],[Email]]="invalid_email","Unknown",P44)</f>
        <v>user175@example.com</v>
      </c>
    </row>
    <row r="45" spans="1:17" x14ac:dyDescent="0.3">
      <c r="A45" t="s">
        <v>52</v>
      </c>
      <c r="B45" t="s">
        <v>160</v>
      </c>
      <c r="C45" t="str">
        <f>IF(Table14[[#This Row],[Name]]="","Unknown",Table14[[#This Row],[Name]])</f>
        <v>Alice Brown</v>
      </c>
      <c r="D45" t="s">
        <v>170</v>
      </c>
      <c r="E45" t="str">
        <f>IF(Table14[[#This Row],[Department]]="","Unknown",Table14[[#This Row],[Department]])</f>
        <v>Marketing</v>
      </c>
      <c r="F45" t="s">
        <v>176</v>
      </c>
      <c r="G45" t="str">
        <f>IF(Table14[[#This Row],[Country]]="","Unknown",Table14[[#This Row],[Country]])</f>
        <v>Australia</v>
      </c>
      <c r="H45" s="3">
        <v>35326</v>
      </c>
      <c r="I45" s="3">
        <f>IF(Table14[[#This Row],[Salary]]="N/A",AVERAGEIF(Table14[Department2],Table14[[#This Row],[Department2]],Table14[Salary]),H45)</f>
        <v>35326</v>
      </c>
      <c r="J45" s="5">
        <v>42309</v>
      </c>
      <c r="K45" s="5">
        <f>IF(Table14[[#This Row],[Date of Joining]]="",MEDIAN(Table14[Date of Joining]),Table14[[#This Row],[Date of Joining]])</f>
        <v>42309</v>
      </c>
      <c r="L45" s="10"/>
      <c r="M45" s="10">
        <f>IF(Table14[[#This Row],[Performance Rating]]="",0,Table14[[#This Row],[Performance Rating]])</f>
        <v>0</v>
      </c>
      <c r="N45" t="s">
        <v>181</v>
      </c>
      <c r="O45" t="str">
        <f>IF(Table14[[#This Row],[Gender]]="","Unknown",N45)</f>
        <v>Female</v>
      </c>
      <c r="P45" t="s">
        <v>222</v>
      </c>
      <c r="Q45" t="str">
        <f>IF(Table14[[#This Row],[Email]]="invalid_email","Unknown",P45)</f>
        <v>user57@example.com</v>
      </c>
    </row>
    <row r="46" spans="1:17" x14ac:dyDescent="0.3">
      <c r="A46" t="s">
        <v>53</v>
      </c>
      <c r="B46" t="s">
        <v>164</v>
      </c>
      <c r="C46" t="str">
        <f>IF(Table14[[#This Row],[Name]]="","Unknown",Table14[[#This Row],[Name]])</f>
        <v>Chris Lee</v>
      </c>
      <c r="D46" t="s">
        <v>166</v>
      </c>
      <c r="E46" t="str">
        <f>IF(Table14[[#This Row],[Department]]="","Unknown",Table14[[#This Row],[Department]])</f>
        <v>Finance</v>
      </c>
      <c r="G46" t="str">
        <f>IF(Table14[[#This Row],[Country]]="","Unknown",Table14[[#This Row],[Country]])</f>
        <v>Unknown</v>
      </c>
      <c r="H46" s="3">
        <v>81610</v>
      </c>
      <c r="I46" s="3">
        <f>IF(Table14[[#This Row],[Salary]]="N/A",AVERAGEIF(Table14[Department2],Table14[[#This Row],[Department2]],Table14[Salary]),H46)</f>
        <v>81610</v>
      </c>
      <c r="J46" s="5">
        <v>42316</v>
      </c>
      <c r="K46" s="5">
        <f>IF(Table14[[#This Row],[Date of Joining]]="",MEDIAN(Table14[Date of Joining]),Table14[[#This Row],[Date of Joining]])</f>
        <v>42316</v>
      </c>
      <c r="L46" s="10">
        <v>1</v>
      </c>
      <c r="M46" s="10">
        <f>IF(Table14[[#This Row],[Performance Rating]]="",0,Table14[[#This Row],[Performance Rating]])</f>
        <v>1</v>
      </c>
      <c r="O46" t="str">
        <f>IF(Table14[[#This Row],[Gender]]="","Unknown",N46)</f>
        <v>Unknown</v>
      </c>
      <c r="P46" t="s">
        <v>223</v>
      </c>
      <c r="Q46" t="str">
        <f>IF(Table14[[#This Row],[Email]]="invalid_email","Unknown",P46)</f>
        <v>user20@example.com</v>
      </c>
    </row>
    <row r="47" spans="1:17" x14ac:dyDescent="0.3">
      <c r="A47" t="s">
        <v>54</v>
      </c>
      <c r="C47" t="str">
        <f>IF(Table14[[#This Row],[Name]]="","Unknown",Table14[[#This Row],[Name]])</f>
        <v>Unknown</v>
      </c>
      <c r="D47" t="s">
        <v>167</v>
      </c>
      <c r="E47" t="str">
        <f>IF(Table14[[#This Row],[Department]]="","Unknown",Table14[[#This Row],[Department]])</f>
        <v>HR</v>
      </c>
      <c r="G47" t="str">
        <f>IF(Table14[[#This Row],[Country]]="","Unknown",Table14[[#This Row],[Country]])</f>
        <v>Unknown</v>
      </c>
      <c r="H47" s="3">
        <v>58962</v>
      </c>
      <c r="I47" s="3">
        <f>IF(Table14[[#This Row],[Salary]]="N/A",AVERAGEIF(Table14[Department2],Table14[[#This Row],[Department2]],Table14[Salary]),H47)</f>
        <v>58962</v>
      </c>
      <c r="J47" s="5">
        <v>42323</v>
      </c>
      <c r="K47" s="5">
        <f>IF(Table14[[#This Row],[Date of Joining]]="",MEDIAN(Table14[Date of Joining]),Table14[[#This Row],[Date of Joining]])</f>
        <v>42323</v>
      </c>
      <c r="L47" s="10">
        <v>3</v>
      </c>
      <c r="M47" s="10">
        <f>IF(Table14[[#This Row],[Performance Rating]]="",0,Table14[[#This Row],[Performance Rating]])</f>
        <v>3</v>
      </c>
      <c r="N47" t="s">
        <v>179</v>
      </c>
      <c r="O47" t="str">
        <f>IF(Table14[[#This Row],[Gender]]="","Unknown",N47)</f>
        <v>Other</v>
      </c>
      <c r="P47" t="s">
        <v>183</v>
      </c>
      <c r="Q47" t="str">
        <f>IF(Table14[[#This Row],[Email]]="invalid_email","Unknown",P47)</f>
        <v>user106@example.com</v>
      </c>
    </row>
    <row r="48" spans="1:17" x14ac:dyDescent="0.3">
      <c r="A48" t="s">
        <v>55</v>
      </c>
      <c r="B48" t="s">
        <v>164</v>
      </c>
      <c r="C48" t="str">
        <f>IF(Table14[[#This Row],[Name]]="","Unknown",Table14[[#This Row],[Name]])</f>
        <v>Chris Lee</v>
      </c>
      <c r="D48" t="s">
        <v>169</v>
      </c>
      <c r="E48" t="str">
        <f>IF(Table14[[#This Row],[Department]]="","Unknown",Table14[[#This Row],[Department]])</f>
        <v>IT</v>
      </c>
      <c r="F48" t="s">
        <v>172</v>
      </c>
      <c r="G48" t="str">
        <f>IF(Table14[[#This Row],[Country]]="","Unknown",Table14[[#This Row],[Country]])</f>
        <v>Germany</v>
      </c>
      <c r="H48" s="3">
        <v>92701</v>
      </c>
      <c r="I48" s="3">
        <f>IF(Table14[[#This Row],[Salary]]="N/A",AVERAGEIF(Table14[Department2],Table14[[#This Row],[Department2]],Table14[Salary]),H48)</f>
        <v>92701</v>
      </c>
      <c r="J48" s="5">
        <v>42330</v>
      </c>
      <c r="K48" s="5">
        <f>IF(Table14[[#This Row],[Date of Joining]]="",MEDIAN(Table14[Date of Joining]),Table14[[#This Row],[Date of Joining]])</f>
        <v>42330</v>
      </c>
      <c r="L48" s="10">
        <v>3</v>
      </c>
      <c r="M48" s="10">
        <f>IF(Table14[[#This Row],[Performance Rating]]="",0,Table14[[#This Row],[Performance Rating]])</f>
        <v>3</v>
      </c>
      <c r="N48" t="s">
        <v>179</v>
      </c>
      <c r="O48" t="str">
        <f>IF(Table14[[#This Row],[Gender]]="","Unknown",N48)</f>
        <v>Other</v>
      </c>
      <c r="P48" t="s">
        <v>224</v>
      </c>
      <c r="Q48" t="str">
        <f>IF(Table14[[#This Row],[Email]]="invalid_email","Unknown",P48)</f>
        <v>user199@example.com</v>
      </c>
    </row>
    <row r="49" spans="1:17" x14ac:dyDescent="0.3">
      <c r="A49" t="s">
        <v>56</v>
      </c>
      <c r="B49" t="s">
        <v>164</v>
      </c>
      <c r="C49" t="str">
        <f>IF(Table14[[#This Row],[Name]]="","Unknown",Table14[[#This Row],[Name]])</f>
        <v>Chris Lee</v>
      </c>
      <c r="D49" t="s">
        <v>167</v>
      </c>
      <c r="E49" t="str">
        <f>IF(Table14[[#This Row],[Department]]="","Unknown",Table14[[#This Row],[Department]])</f>
        <v>HR</v>
      </c>
      <c r="F49" t="s">
        <v>174</v>
      </c>
      <c r="G49" t="str">
        <f>IF(Table14[[#This Row],[Country]]="","Unknown",Table14[[#This Row],[Country]])</f>
        <v>India</v>
      </c>
      <c r="H49" s="3">
        <v>58245</v>
      </c>
      <c r="I49" s="3">
        <f>IF(Table14[[#This Row],[Salary]]="N/A",AVERAGEIF(Table14[Department2],Table14[[#This Row],[Department2]],Table14[Salary]),H49)</f>
        <v>58245</v>
      </c>
      <c r="J49" s="5">
        <v>42337</v>
      </c>
      <c r="K49" s="5">
        <f>IF(Table14[[#This Row],[Date of Joining]]="",MEDIAN(Table14[Date of Joining]),Table14[[#This Row],[Date of Joining]])</f>
        <v>42337</v>
      </c>
      <c r="L49" s="10">
        <v>4</v>
      </c>
      <c r="M49" s="10">
        <f>IF(Table14[[#This Row],[Performance Rating]]="",0,Table14[[#This Row],[Performance Rating]])</f>
        <v>4</v>
      </c>
      <c r="O49" t="str">
        <f>IF(Table14[[#This Row],[Gender]]="","Unknown",N49)</f>
        <v>Unknown</v>
      </c>
      <c r="P49" t="s">
        <v>225</v>
      </c>
      <c r="Q49" t="str">
        <f>IF(Table14[[#This Row],[Email]]="invalid_email","Unknown",P49)</f>
        <v>user43@example.com</v>
      </c>
    </row>
    <row r="50" spans="1:17" x14ac:dyDescent="0.3">
      <c r="A50" t="s">
        <v>57</v>
      </c>
      <c r="B50" t="s">
        <v>161</v>
      </c>
      <c r="C50" t="str">
        <f>IF(Table14[[#This Row],[Name]]="","Unknown",Table14[[#This Row],[Name]])</f>
        <v>John Doe</v>
      </c>
      <c r="D50" t="s">
        <v>166</v>
      </c>
      <c r="E50" t="str">
        <f>IF(Table14[[#This Row],[Department]]="","Unknown",Table14[[#This Row],[Department]])</f>
        <v>Finance</v>
      </c>
      <c r="G50" t="str">
        <f>IF(Table14[[#This Row],[Country]]="","Unknown",Table14[[#This Row],[Country]])</f>
        <v>Unknown</v>
      </c>
      <c r="H50" s="3">
        <v>66513</v>
      </c>
      <c r="I50" s="3">
        <f>IF(Table14[[#This Row],[Salary]]="N/A",AVERAGEIF(Table14[Department2],Table14[[#This Row],[Department2]],Table14[Salary]),H50)</f>
        <v>66513</v>
      </c>
      <c r="J50" s="5">
        <v>42344</v>
      </c>
      <c r="K50" s="5">
        <f>IF(Table14[[#This Row],[Date of Joining]]="",MEDIAN(Table14[Date of Joining]),Table14[[#This Row],[Date of Joining]])</f>
        <v>42344</v>
      </c>
      <c r="L50" s="10">
        <v>2</v>
      </c>
      <c r="M50" s="10">
        <f>IF(Table14[[#This Row],[Performance Rating]]="",0,Table14[[#This Row],[Performance Rating]])</f>
        <v>2</v>
      </c>
      <c r="N50" t="s">
        <v>179</v>
      </c>
      <c r="O50" t="str">
        <f>IF(Table14[[#This Row],[Gender]]="","Unknown",N50)</f>
        <v>Other</v>
      </c>
      <c r="P50" t="s">
        <v>187</v>
      </c>
      <c r="Q50" t="str">
        <f>IF(Table14[[#This Row],[Email]]="invalid_email","Unknown",P50)</f>
        <v>user24@example.com</v>
      </c>
    </row>
    <row r="51" spans="1:17" x14ac:dyDescent="0.3">
      <c r="A51" t="s">
        <v>58</v>
      </c>
      <c r="B51" t="s">
        <v>159</v>
      </c>
      <c r="C51" t="str">
        <f>IF(Table14[[#This Row],[Name]]="","Unknown",Table14[[#This Row],[Name]])</f>
        <v>Eve Adams</v>
      </c>
      <c r="D51" t="s">
        <v>167</v>
      </c>
      <c r="E51" t="str">
        <f>IF(Table14[[#This Row],[Department]]="","Unknown",Table14[[#This Row],[Department]])</f>
        <v>HR</v>
      </c>
      <c r="F51" t="s">
        <v>172</v>
      </c>
      <c r="G51" t="str">
        <f>IF(Table14[[#This Row],[Country]]="","Unknown",Table14[[#This Row],[Country]])</f>
        <v>Germany</v>
      </c>
      <c r="H51" s="3">
        <v>78720</v>
      </c>
      <c r="I51" s="3">
        <f>IF(Table14[[#This Row],[Salary]]="N/A",AVERAGEIF(Table14[Department2],Table14[[#This Row],[Department2]],Table14[Salary]),H51)</f>
        <v>78720</v>
      </c>
      <c r="J51" s="5">
        <v>42351</v>
      </c>
      <c r="K51" s="5">
        <f>IF(Table14[[#This Row],[Date of Joining]]="",MEDIAN(Table14[Date of Joining]),Table14[[#This Row],[Date of Joining]])</f>
        <v>42351</v>
      </c>
      <c r="L51" s="10">
        <v>5</v>
      </c>
      <c r="M51" s="10">
        <f>IF(Table14[[#This Row],[Performance Rating]]="",0,Table14[[#This Row],[Performance Rating]])</f>
        <v>5</v>
      </c>
      <c r="N51" t="s">
        <v>181</v>
      </c>
      <c r="O51" t="str">
        <f>IF(Table14[[#This Row],[Gender]]="","Unknown",N51)</f>
        <v>Female</v>
      </c>
      <c r="P51" t="s">
        <v>219</v>
      </c>
      <c r="Q51" t="str">
        <f>IF(Table14[[#This Row],[Email]]="invalid_email","Unknown",P51)</f>
        <v>user89@example.com</v>
      </c>
    </row>
    <row r="52" spans="1:17" x14ac:dyDescent="0.3">
      <c r="A52" t="s">
        <v>59</v>
      </c>
      <c r="B52" t="s">
        <v>164</v>
      </c>
      <c r="C52" t="str">
        <f>IF(Table14[[#This Row],[Name]]="","Unknown",Table14[[#This Row],[Name]])</f>
        <v>Chris Lee</v>
      </c>
      <c r="E52" t="str">
        <f>IF(Table14[[#This Row],[Department]]="","Unknown",Table14[[#This Row],[Department]])</f>
        <v>Unknown</v>
      </c>
      <c r="G52" t="str">
        <f>IF(Table14[[#This Row],[Country]]="","Unknown",Table14[[#This Row],[Country]])</f>
        <v>Unknown</v>
      </c>
      <c r="H52" s="3">
        <v>30686</v>
      </c>
      <c r="I52" s="3">
        <f>IF(Table14[[#This Row],[Salary]]="N/A",AVERAGEIF(Table14[Department2],Table14[[#This Row],[Department2]],Table14[Salary]),H52)</f>
        <v>30686</v>
      </c>
      <c r="K52" s="5">
        <f>IF(Table14[[#This Row],[Date of Joining]]="",MEDIAN(Table14[Date of Joining]),Table14[[#This Row],[Date of Joining]])</f>
        <v>42533</v>
      </c>
      <c r="L52" s="10">
        <v>2</v>
      </c>
      <c r="M52" s="10">
        <f>IF(Table14[[#This Row],[Performance Rating]]="",0,Table14[[#This Row],[Performance Rating]])</f>
        <v>2</v>
      </c>
      <c r="N52" t="s">
        <v>181</v>
      </c>
      <c r="O52" t="str">
        <f>IF(Table14[[#This Row],[Gender]]="","Unknown",N52)</f>
        <v>Female</v>
      </c>
      <c r="P52" t="s">
        <v>226</v>
      </c>
      <c r="Q52" t="str">
        <f>IF(Table14[[#This Row],[Email]]="invalid_email","Unknown",P52)</f>
        <v>user95@example.com</v>
      </c>
    </row>
    <row r="53" spans="1:17" x14ac:dyDescent="0.3">
      <c r="A53" t="s">
        <v>60</v>
      </c>
      <c r="B53" t="s">
        <v>163</v>
      </c>
      <c r="C53" t="str">
        <f>IF(Table14[[#This Row],[Name]]="","Unknown",Table14[[#This Row],[Name]])</f>
        <v>Sam Wilson</v>
      </c>
      <c r="D53" t="s">
        <v>168</v>
      </c>
      <c r="E53" t="str">
        <f>IF(Table14[[#This Row],[Department]]="","Unknown",Table14[[#This Row],[Department]])</f>
        <v>Sales</v>
      </c>
      <c r="F53" t="s">
        <v>174</v>
      </c>
      <c r="G53" t="str">
        <f>IF(Table14[[#This Row],[Country]]="","Unknown",Table14[[#This Row],[Country]])</f>
        <v>India</v>
      </c>
      <c r="H53" s="3">
        <v>39423</v>
      </c>
      <c r="I53" s="3">
        <f>IF(Table14[[#This Row],[Salary]]="N/A",AVERAGEIF(Table14[Department2],Table14[[#This Row],[Department2]],Table14[Salary]),H53)</f>
        <v>39423</v>
      </c>
      <c r="J53" s="5">
        <v>42365</v>
      </c>
      <c r="K53" s="5">
        <f>IF(Table14[[#This Row],[Date of Joining]]="",MEDIAN(Table14[Date of Joining]),Table14[[#This Row],[Date of Joining]])</f>
        <v>42365</v>
      </c>
      <c r="L53" s="10">
        <v>5</v>
      </c>
      <c r="M53" s="10">
        <f>IF(Table14[[#This Row],[Performance Rating]]="",0,Table14[[#This Row],[Performance Rating]])</f>
        <v>5</v>
      </c>
      <c r="O53" t="str">
        <f>IF(Table14[[#This Row],[Gender]]="","Unknown",N53)</f>
        <v>Unknown</v>
      </c>
      <c r="P53" t="s">
        <v>227</v>
      </c>
      <c r="Q53" t="str">
        <f>IF(Table14[[#This Row],[Email]]="invalid_email","Unknown",P53)</f>
        <v>user59@example.com</v>
      </c>
    </row>
    <row r="54" spans="1:17" x14ac:dyDescent="0.3">
      <c r="A54" t="s">
        <v>61</v>
      </c>
      <c r="B54" t="s">
        <v>159</v>
      </c>
      <c r="C54" t="str">
        <f>IF(Table14[[#This Row],[Name]]="","Unknown",Table14[[#This Row],[Name]])</f>
        <v>Eve Adams</v>
      </c>
      <c r="D54" t="s">
        <v>170</v>
      </c>
      <c r="E54" t="str">
        <f>IF(Table14[[#This Row],[Department]]="","Unknown",Table14[[#This Row],[Department]])</f>
        <v>Marketing</v>
      </c>
      <c r="G54" t="str">
        <f>IF(Table14[[#This Row],[Country]]="","Unknown",Table14[[#This Row],[Country]])</f>
        <v>Unknown</v>
      </c>
      <c r="H54" s="3">
        <v>30280</v>
      </c>
      <c r="I54" s="3">
        <f>IF(Table14[[#This Row],[Salary]]="N/A",AVERAGEIF(Table14[Department2],Table14[[#This Row],[Department2]],Table14[Salary]),H54)</f>
        <v>30280</v>
      </c>
      <c r="J54" s="5">
        <v>42372</v>
      </c>
      <c r="K54" s="5">
        <f>IF(Table14[[#This Row],[Date of Joining]]="",MEDIAN(Table14[Date of Joining]),Table14[[#This Row],[Date of Joining]])</f>
        <v>42372</v>
      </c>
      <c r="L54" s="10">
        <v>1</v>
      </c>
      <c r="M54" s="10">
        <f>IF(Table14[[#This Row],[Performance Rating]]="",0,Table14[[#This Row],[Performance Rating]])</f>
        <v>1</v>
      </c>
      <c r="O54" t="str">
        <f>IF(Table14[[#This Row],[Gender]]="","Unknown",N54)</f>
        <v>Unknown</v>
      </c>
      <c r="P54" t="s">
        <v>228</v>
      </c>
      <c r="Q54" t="str">
        <f>IF(Table14[[#This Row],[Email]]="invalid_email","Unknown",P54)</f>
        <v>user152@example.com</v>
      </c>
    </row>
    <row r="55" spans="1:17" x14ac:dyDescent="0.3">
      <c r="A55" t="s">
        <v>62</v>
      </c>
      <c r="B55" t="s">
        <v>159</v>
      </c>
      <c r="C55" t="str">
        <f>IF(Table14[[#This Row],[Name]]="","Unknown",Table14[[#This Row],[Name]])</f>
        <v>Eve Adams</v>
      </c>
      <c r="D55" t="s">
        <v>166</v>
      </c>
      <c r="E55" t="str">
        <f>IF(Table14[[#This Row],[Department]]="","Unknown",Table14[[#This Row],[Department]])</f>
        <v>Finance</v>
      </c>
      <c r="F55" t="s">
        <v>175</v>
      </c>
      <c r="G55" t="str">
        <f>IF(Table14[[#This Row],[Country]]="","Unknown",Table14[[#This Row],[Country]])</f>
        <v>UK</v>
      </c>
      <c r="H55" s="3">
        <v>33352</v>
      </c>
      <c r="I55" s="3">
        <f>IF(Table14[[#This Row],[Salary]]="N/A",AVERAGEIF(Table14[Department2],Table14[[#This Row],[Department2]],Table14[Salary]),H55)</f>
        <v>33352</v>
      </c>
      <c r="J55" s="5">
        <v>42379</v>
      </c>
      <c r="K55" s="5">
        <f>IF(Table14[[#This Row],[Date of Joining]]="",MEDIAN(Table14[Date of Joining]),Table14[[#This Row],[Date of Joining]])</f>
        <v>42379</v>
      </c>
      <c r="L55" s="10">
        <v>3</v>
      </c>
      <c r="M55" s="10">
        <f>IF(Table14[[#This Row],[Performance Rating]]="",0,Table14[[#This Row],[Performance Rating]])</f>
        <v>3</v>
      </c>
      <c r="N55" t="s">
        <v>181</v>
      </c>
      <c r="O55" t="str">
        <f>IF(Table14[[#This Row],[Gender]]="","Unknown",N55)</f>
        <v>Female</v>
      </c>
      <c r="P55" t="s">
        <v>200</v>
      </c>
      <c r="Q55" t="str">
        <f>IF(Table14[[#This Row],[Email]]="invalid_email","Unknown",P55)</f>
        <v>user200@example.com</v>
      </c>
    </row>
    <row r="56" spans="1:17" x14ac:dyDescent="0.3">
      <c r="A56" t="s">
        <v>63</v>
      </c>
      <c r="B56" t="s">
        <v>165</v>
      </c>
      <c r="C56" t="str">
        <f>IF(Table14[[#This Row],[Name]]="","Unknown",Table14[[#This Row],[Name]])</f>
        <v>Bob Johnson</v>
      </c>
      <c r="D56" t="s">
        <v>170</v>
      </c>
      <c r="E56" t="str">
        <f>IF(Table14[[#This Row],[Department]]="","Unknown",Table14[[#This Row],[Department]])</f>
        <v>Marketing</v>
      </c>
      <c r="F56" t="s">
        <v>175</v>
      </c>
      <c r="G56" t="str">
        <f>IF(Table14[[#This Row],[Country]]="","Unknown",Table14[[#This Row],[Country]])</f>
        <v>UK</v>
      </c>
      <c r="H56" s="3">
        <v>75633</v>
      </c>
      <c r="I56" s="3">
        <f>IF(Table14[[#This Row],[Salary]]="N/A",AVERAGEIF(Table14[Department2],Table14[[#This Row],[Department2]],Table14[Salary]),H56)</f>
        <v>75633</v>
      </c>
      <c r="J56" s="5">
        <v>42386</v>
      </c>
      <c r="K56" s="5">
        <f>IF(Table14[[#This Row],[Date of Joining]]="",MEDIAN(Table14[Date of Joining]),Table14[[#This Row],[Date of Joining]])</f>
        <v>42386</v>
      </c>
      <c r="L56" s="10">
        <v>5</v>
      </c>
      <c r="M56" s="10">
        <f>IF(Table14[[#This Row],[Performance Rating]]="",0,Table14[[#This Row],[Performance Rating]])</f>
        <v>5</v>
      </c>
      <c r="N56" t="s">
        <v>179</v>
      </c>
      <c r="O56" t="str">
        <f>IF(Table14[[#This Row],[Gender]]="","Unknown",N56)</f>
        <v>Other</v>
      </c>
      <c r="P56" t="s">
        <v>229</v>
      </c>
      <c r="Q56" t="str">
        <f>IF(Table14[[#This Row],[Email]]="invalid_email","Unknown",P56)</f>
        <v>user92@example.com</v>
      </c>
    </row>
    <row r="57" spans="1:17" x14ac:dyDescent="0.3">
      <c r="A57" t="s">
        <v>64</v>
      </c>
      <c r="B57" t="s">
        <v>164</v>
      </c>
      <c r="C57" t="str">
        <f>IF(Table14[[#This Row],[Name]]="","Unknown",Table14[[#This Row],[Name]])</f>
        <v>Chris Lee</v>
      </c>
      <c r="E57" t="str">
        <f>IF(Table14[[#This Row],[Department]]="","Unknown",Table14[[#This Row],[Department]])</f>
        <v>Unknown</v>
      </c>
      <c r="F57" t="s">
        <v>173</v>
      </c>
      <c r="G57" t="str">
        <f>IF(Table14[[#This Row],[Country]]="","Unknown",Table14[[#This Row],[Country]])</f>
        <v>USA</v>
      </c>
      <c r="H57" s="3">
        <v>74815</v>
      </c>
      <c r="I57" s="3">
        <f>IF(Table14[[#This Row],[Salary]]="N/A",AVERAGEIF(Table14[Department2],Table14[[#This Row],[Department2]],Table14[Salary]),H57)</f>
        <v>74815</v>
      </c>
      <c r="J57" s="5">
        <v>42393</v>
      </c>
      <c r="K57" s="5">
        <f>IF(Table14[[#This Row],[Date of Joining]]="",MEDIAN(Table14[Date of Joining]),Table14[[#This Row],[Date of Joining]])</f>
        <v>42393</v>
      </c>
      <c r="L57" s="10">
        <v>5</v>
      </c>
      <c r="M57" s="10">
        <f>IF(Table14[[#This Row],[Performance Rating]]="",0,Table14[[#This Row],[Performance Rating]])</f>
        <v>5</v>
      </c>
      <c r="N57" t="s">
        <v>181</v>
      </c>
      <c r="O57" t="str">
        <f>IF(Table14[[#This Row],[Gender]]="","Unknown",N57)</f>
        <v>Female</v>
      </c>
      <c r="P57" t="s">
        <v>230</v>
      </c>
      <c r="Q57" t="str">
        <f>IF(Table14[[#This Row],[Email]]="invalid_email","Unknown",P57)</f>
        <v>user50@example.com</v>
      </c>
    </row>
    <row r="58" spans="1:17" x14ac:dyDescent="0.3">
      <c r="A58" t="s">
        <v>65</v>
      </c>
      <c r="B58" t="s">
        <v>161</v>
      </c>
      <c r="C58" t="str">
        <f>IF(Table14[[#This Row],[Name]]="","Unknown",Table14[[#This Row],[Name]])</f>
        <v>John Doe</v>
      </c>
      <c r="D58" t="s">
        <v>168</v>
      </c>
      <c r="E58" t="str">
        <f>IF(Table14[[#This Row],[Department]]="","Unknown",Table14[[#This Row],[Department]])</f>
        <v>Sales</v>
      </c>
      <c r="F58" t="s">
        <v>176</v>
      </c>
      <c r="G58" t="str">
        <f>IF(Table14[[#This Row],[Country]]="","Unknown",Table14[[#This Row],[Country]])</f>
        <v>Australia</v>
      </c>
      <c r="H58" s="3">
        <v>60011</v>
      </c>
      <c r="I58" s="3">
        <f>IF(Table14[[#This Row],[Salary]]="N/A",AVERAGEIF(Table14[Department2],Table14[[#This Row],[Department2]],Table14[Salary]),H58)</f>
        <v>60011</v>
      </c>
      <c r="J58" s="5">
        <v>42400</v>
      </c>
      <c r="K58" s="5">
        <f>IF(Table14[[#This Row],[Date of Joining]]="",MEDIAN(Table14[Date of Joining]),Table14[[#This Row],[Date of Joining]])</f>
        <v>42400</v>
      </c>
      <c r="L58" s="10">
        <v>1</v>
      </c>
      <c r="M58" s="10">
        <f>IF(Table14[[#This Row],[Performance Rating]]="",0,Table14[[#This Row],[Performance Rating]])</f>
        <v>1</v>
      </c>
      <c r="N58" t="s">
        <v>180</v>
      </c>
      <c r="O58" t="str">
        <f>IF(Table14[[#This Row],[Gender]]="","Unknown",N58)</f>
        <v>Male</v>
      </c>
      <c r="P58" t="s">
        <v>231</v>
      </c>
      <c r="Q58" t="str">
        <f>IF(Table14[[#This Row],[Email]]="invalid_email","Unknown",P58)</f>
        <v>user63@example.com</v>
      </c>
    </row>
    <row r="59" spans="1:17" x14ac:dyDescent="0.3">
      <c r="A59" t="s">
        <v>66</v>
      </c>
      <c r="B59" t="s">
        <v>159</v>
      </c>
      <c r="C59" t="str">
        <f>IF(Table14[[#This Row],[Name]]="","Unknown",Table14[[#This Row],[Name]])</f>
        <v>Eve Adams</v>
      </c>
      <c r="E59" t="str">
        <f>IF(Table14[[#This Row],[Department]]="","Unknown",Table14[[#This Row],[Department]])</f>
        <v>Unknown</v>
      </c>
      <c r="F59" t="s">
        <v>174</v>
      </c>
      <c r="G59" t="str">
        <f>IF(Table14[[#This Row],[Country]]="","Unknown",Table14[[#This Row],[Country]])</f>
        <v>India</v>
      </c>
      <c r="H59" s="3">
        <v>96949</v>
      </c>
      <c r="I59" s="3">
        <f>IF(Table14[[#This Row],[Salary]]="N/A",AVERAGEIF(Table14[Department2],Table14[[#This Row],[Department2]],Table14[Salary]),H59)</f>
        <v>96949</v>
      </c>
      <c r="J59" s="5">
        <v>42407</v>
      </c>
      <c r="K59" s="5">
        <f>IF(Table14[[#This Row],[Date of Joining]]="",MEDIAN(Table14[Date of Joining]),Table14[[#This Row],[Date of Joining]])</f>
        <v>42407</v>
      </c>
      <c r="L59" s="10">
        <v>3</v>
      </c>
      <c r="M59" s="10">
        <f>IF(Table14[[#This Row],[Performance Rating]]="",0,Table14[[#This Row],[Performance Rating]])</f>
        <v>3</v>
      </c>
      <c r="O59" t="str">
        <f>IF(Table14[[#This Row],[Gender]]="","Unknown",N59)</f>
        <v>Unknown</v>
      </c>
      <c r="P59" t="s">
        <v>207</v>
      </c>
      <c r="Q59" t="str">
        <f>IF(Table14[[#This Row],[Email]]="invalid_email","Unknown",P59)</f>
        <v>user103@example.com</v>
      </c>
    </row>
    <row r="60" spans="1:17" x14ac:dyDescent="0.3">
      <c r="A60" t="s">
        <v>67</v>
      </c>
      <c r="B60" t="s">
        <v>163</v>
      </c>
      <c r="C60" t="str">
        <f>IF(Table14[[#This Row],[Name]]="","Unknown",Table14[[#This Row],[Name]])</f>
        <v>Sam Wilson</v>
      </c>
      <c r="D60" t="s">
        <v>170</v>
      </c>
      <c r="E60" t="str">
        <f>IF(Table14[[#This Row],[Department]]="","Unknown",Table14[[#This Row],[Department]])</f>
        <v>Marketing</v>
      </c>
      <c r="G60" t="str">
        <f>IF(Table14[[#This Row],[Country]]="","Unknown",Table14[[#This Row],[Country]])</f>
        <v>Unknown</v>
      </c>
      <c r="H60" s="3">
        <v>84924</v>
      </c>
      <c r="I60" s="3">
        <f>IF(Table14[[#This Row],[Salary]]="N/A",AVERAGEIF(Table14[Department2],Table14[[#This Row],[Department2]],Table14[Salary]),H60)</f>
        <v>84924</v>
      </c>
      <c r="J60" s="5">
        <v>42414</v>
      </c>
      <c r="K60" s="5">
        <f>IF(Table14[[#This Row],[Date of Joining]]="",MEDIAN(Table14[Date of Joining]),Table14[[#This Row],[Date of Joining]])</f>
        <v>42414</v>
      </c>
      <c r="L60" s="10">
        <v>5</v>
      </c>
      <c r="M60" s="10">
        <f>IF(Table14[[#This Row],[Performance Rating]]="",0,Table14[[#This Row],[Performance Rating]])</f>
        <v>5</v>
      </c>
      <c r="N60" t="s">
        <v>180</v>
      </c>
      <c r="O60" t="str">
        <f>IF(Table14[[#This Row],[Gender]]="","Unknown",N60)</f>
        <v>Male</v>
      </c>
      <c r="P60" t="s">
        <v>232</v>
      </c>
      <c r="Q60" t="str">
        <f>IF(Table14[[#This Row],[Email]]="invalid_email","Unknown",P60)</f>
        <v>user150@example.com</v>
      </c>
    </row>
    <row r="61" spans="1:17" x14ac:dyDescent="0.3">
      <c r="A61" t="s">
        <v>68</v>
      </c>
      <c r="B61" t="s">
        <v>163</v>
      </c>
      <c r="C61" t="str">
        <f>IF(Table14[[#This Row],[Name]]="","Unknown",Table14[[#This Row],[Name]])</f>
        <v>Sam Wilson</v>
      </c>
      <c r="D61" t="s">
        <v>166</v>
      </c>
      <c r="E61" t="str">
        <f>IF(Table14[[#This Row],[Department]]="","Unknown",Table14[[#This Row],[Department]])</f>
        <v>Finance</v>
      </c>
      <c r="F61" t="s">
        <v>173</v>
      </c>
      <c r="G61" t="str">
        <f>IF(Table14[[#This Row],[Country]]="","Unknown",Table14[[#This Row],[Country]])</f>
        <v>USA</v>
      </c>
      <c r="H61" s="3">
        <v>82033</v>
      </c>
      <c r="I61" s="3">
        <f>IF(Table14[[#This Row],[Salary]]="N/A",AVERAGEIF(Table14[Department2],Table14[[#This Row],[Department2]],Table14[Salary]),H61)</f>
        <v>82033</v>
      </c>
      <c r="J61" s="5">
        <v>42421</v>
      </c>
      <c r="K61" s="5">
        <f>IF(Table14[[#This Row],[Date of Joining]]="",MEDIAN(Table14[Date of Joining]),Table14[[#This Row],[Date of Joining]])</f>
        <v>42421</v>
      </c>
      <c r="L61" s="10">
        <v>1</v>
      </c>
      <c r="M61" s="10">
        <f>IF(Table14[[#This Row],[Performance Rating]]="",0,Table14[[#This Row],[Performance Rating]])</f>
        <v>1</v>
      </c>
      <c r="O61" t="str">
        <f>IF(Table14[[#This Row],[Gender]]="","Unknown",N61)</f>
        <v>Unknown</v>
      </c>
      <c r="P61" t="s">
        <v>223</v>
      </c>
      <c r="Q61" t="str">
        <f>IF(Table14[[#This Row],[Email]]="invalid_email","Unknown",P61)</f>
        <v>user20@example.com</v>
      </c>
    </row>
    <row r="62" spans="1:17" x14ac:dyDescent="0.3">
      <c r="A62" t="s">
        <v>69</v>
      </c>
      <c r="C62" t="str">
        <f>IF(Table14[[#This Row],[Name]]="","Unknown",Table14[[#This Row],[Name]])</f>
        <v>Unknown</v>
      </c>
      <c r="D62" t="s">
        <v>170</v>
      </c>
      <c r="E62" t="str">
        <f>IF(Table14[[#This Row],[Department]]="","Unknown",Table14[[#This Row],[Department]])</f>
        <v>Marketing</v>
      </c>
      <c r="F62" t="s">
        <v>172</v>
      </c>
      <c r="G62" t="str">
        <f>IF(Table14[[#This Row],[Country]]="","Unknown",Table14[[#This Row],[Country]])</f>
        <v>Germany</v>
      </c>
      <c r="H62" s="3" t="s">
        <v>177</v>
      </c>
      <c r="I62" s="3">
        <f>IF(Table14[[#This Row],[Salary]]="N/A",AVERAGEIF(Table14[Department2],Table14[[#This Row],[Department2]],Table14[Salary]),H62)</f>
        <v>63686.692307692305</v>
      </c>
      <c r="K62" s="5">
        <f>IF(Table14[[#This Row],[Date of Joining]]="",MEDIAN(Table14[Date of Joining]),Table14[[#This Row],[Date of Joining]])</f>
        <v>42533</v>
      </c>
      <c r="L62" s="10">
        <v>5</v>
      </c>
      <c r="M62" s="10">
        <f>IF(Table14[[#This Row],[Performance Rating]]="",0,Table14[[#This Row],[Performance Rating]])</f>
        <v>5</v>
      </c>
      <c r="N62" t="s">
        <v>178</v>
      </c>
      <c r="O62" t="str">
        <f>IF(Table14[[#This Row],[Gender]]="","Unknown",N62)</f>
        <v>Unknown</v>
      </c>
      <c r="P62" t="s">
        <v>233</v>
      </c>
      <c r="Q62" t="str">
        <f>IF(Table14[[#This Row],[Email]]="invalid_email","Unknown",P62)</f>
        <v>user112@example.com</v>
      </c>
    </row>
    <row r="63" spans="1:17" x14ac:dyDescent="0.3">
      <c r="A63" t="s">
        <v>70</v>
      </c>
      <c r="B63" t="s">
        <v>159</v>
      </c>
      <c r="C63" t="str">
        <f>IF(Table14[[#This Row],[Name]]="","Unknown",Table14[[#This Row],[Name]])</f>
        <v>Eve Adams</v>
      </c>
      <c r="E63" t="str">
        <f>IF(Table14[[#This Row],[Department]]="","Unknown",Table14[[#This Row],[Department]])</f>
        <v>Unknown</v>
      </c>
      <c r="F63" t="s">
        <v>176</v>
      </c>
      <c r="G63" t="str">
        <f>IF(Table14[[#This Row],[Country]]="","Unknown",Table14[[#This Row],[Country]])</f>
        <v>Australia</v>
      </c>
      <c r="H63" s="3">
        <v>31499</v>
      </c>
      <c r="I63" s="3">
        <f>IF(Table14[[#This Row],[Salary]]="N/A",AVERAGEIF(Table14[Department2],Table14[[#This Row],[Department2]],Table14[Salary]),H63)</f>
        <v>31499</v>
      </c>
      <c r="J63" s="5">
        <v>42435</v>
      </c>
      <c r="K63" s="5">
        <f>IF(Table14[[#This Row],[Date of Joining]]="",MEDIAN(Table14[Date of Joining]),Table14[[#This Row],[Date of Joining]])</f>
        <v>42435</v>
      </c>
      <c r="L63" s="10">
        <v>2</v>
      </c>
      <c r="M63" s="10">
        <f>IF(Table14[[#This Row],[Performance Rating]]="",0,Table14[[#This Row],[Performance Rating]])</f>
        <v>2</v>
      </c>
      <c r="O63" t="str">
        <f>IF(Table14[[#This Row],[Gender]]="","Unknown",N63)</f>
        <v>Unknown</v>
      </c>
      <c r="P63" t="s">
        <v>215</v>
      </c>
      <c r="Q63" t="str">
        <f>IF(Table14[[#This Row],[Email]]="invalid_email","Unknown",P63)</f>
        <v>user31@example.com</v>
      </c>
    </row>
    <row r="64" spans="1:17" x14ac:dyDescent="0.3">
      <c r="A64" t="s">
        <v>71</v>
      </c>
      <c r="B64" t="s">
        <v>164</v>
      </c>
      <c r="C64" t="str">
        <f>IF(Table14[[#This Row],[Name]]="","Unknown",Table14[[#This Row],[Name]])</f>
        <v>Chris Lee</v>
      </c>
      <c r="D64" t="s">
        <v>169</v>
      </c>
      <c r="E64" t="str">
        <f>IF(Table14[[#This Row],[Department]]="","Unknown",Table14[[#This Row],[Department]])</f>
        <v>IT</v>
      </c>
      <c r="F64" t="s">
        <v>175</v>
      </c>
      <c r="G64" t="str">
        <f>IF(Table14[[#This Row],[Country]]="","Unknown",Table14[[#This Row],[Country]])</f>
        <v>UK</v>
      </c>
      <c r="H64" s="3">
        <v>97981</v>
      </c>
      <c r="I64" s="3">
        <f>IF(Table14[[#This Row],[Salary]]="N/A",AVERAGEIF(Table14[Department2],Table14[[#This Row],[Department2]],Table14[Salary]),H64)</f>
        <v>97981</v>
      </c>
      <c r="J64" s="5">
        <v>42442</v>
      </c>
      <c r="K64" s="5">
        <f>IF(Table14[[#This Row],[Date of Joining]]="",MEDIAN(Table14[Date of Joining]),Table14[[#This Row],[Date of Joining]])</f>
        <v>42442</v>
      </c>
      <c r="L64" s="10">
        <v>5</v>
      </c>
      <c r="M64" s="10">
        <f>IF(Table14[[#This Row],[Performance Rating]]="",0,Table14[[#This Row],[Performance Rating]])</f>
        <v>5</v>
      </c>
      <c r="N64" t="s">
        <v>181</v>
      </c>
      <c r="O64" t="str">
        <f>IF(Table14[[#This Row],[Gender]]="","Unknown",N64)</f>
        <v>Female</v>
      </c>
      <c r="P64" t="s">
        <v>234</v>
      </c>
      <c r="Q64" t="str">
        <f>IF(Table14[[#This Row],[Email]]="invalid_email","Unknown",P64)</f>
        <v>user71@example.com</v>
      </c>
    </row>
    <row r="65" spans="1:17" x14ac:dyDescent="0.3">
      <c r="A65" t="s">
        <v>72</v>
      </c>
      <c r="B65" t="s">
        <v>159</v>
      </c>
      <c r="C65" t="str">
        <f>IF(Table14[[#This Row],[Name]]="","Unknown",Table14[[#This Row],[Name]])</f>
        <v>Eve Adams</v>
      </c>
      <c r="D65" t="s">
        <v>167</v>
      </c>
      <c r="E65" t="str">
        <f>IF(Table14[[#This Row],[Department]]="","Unknown",Table14[[#This Row],[Department]])</f>
        <v>HR</v>
      </c>
      <c r="F65" t="s">
        <v>173</v>
      </c>
      <c r="G65" t="str">
        <f>IF(Table14[[#This Row],[Country]]="","Unknown",Table14[[#This Row],[Country]])</f>
        <v>USA</v>
      </c>
      <c r="H65" s="3">
        <v>36541</v>
      </c>
      <c r="I65" s="3">
        <f>IF(Table14[[#This Row],[Salary]]="N/A",AVERAGEIF(Table14[Department2],Table14[[#This Row],[Department2]],Table14[Salary]),H65)</f>
        <v>36541</v>
      </c>
      <c r="J65" s="5">
        <v>42449</v>
      </c>
      <c r="K65" s="5">
        <f>IF(Table14[[#This Row],[Date of Joining]]="",MEDIAN(Table14[Date of Joining]),Table14[[#This Row],[Date of Joining]])</f>
        <v>42449</v>
      </c>
      <c r="L65" s="10">
        <v>2</v>
      </c>
      <c r="M65" s="10">
        <f>IF(Table14[[#This Row],[Performance Rating]]="",0,Table14[[#This Row],[Performance Rating]])</f>
        <v>2</v>
      </c>
      <c r="N65" t="s">
        <v>179</v>
      </c>
      <c r="O65" t="str">
        <f>IF(Table14[[#This Row],[Gender]]="","Unknown",N65)</f>
        <v>Other</v>
      </c>
      <c r="P65" t="s">
        <v>235</v>
      </c>
      <c r="Q65" t="str">
        <f>IF(Table14[[#This Row],[Email]]="invalid_email","Unknown",P65)</f>
        <v>user97@example.com</v>
      </c>
    </row>
    <row r="66" spans="1:17" x14ac:dyDescent="0.3">
      <c r="A66" t="s">
        <v>73</v>
      </c>
      <c r="B66" t="s">
        <v>161</v>
      </c>
      <c r="C66" t="str">
        <f>IF(Table14[[#This Row],[Name]]="","Unknown",Table14[[#This Row],[Name]])</f>
        <v>John Doe</v>
      </c>
      <c r="D66" t="s">
        <v>169</v>
      </c>
      <c r="E66" t="str">
        <f>IF(Table14[[#This Row],[Department]]="","Unknown",Table14[[#This Row],[Department]])</f>
        <v>IT</v>
      </c>
      <c r="F66" t="s">
        <v>174</v>
      </c>
      <c r="G66" t="str">
        <f>IF(Table14[[#This Row],[Country]]="","Unknown",Table14[[#This Row],[Country]])</f>
        <v>India</v>
      </c>
      <c r="H66" s="3">
        <v>84737</v>
      </c>
      <c r="I66" s="3">
        <f>IF(Table14[[#This Row],[Salary]]="N/A",AVERAGEIF(Table14[Department2],Table14[[#This Row],[Department2]],Table14[Salary]),H66)</f>
        <v>84737</v>
      </c>
      <c r="J66" s="5">
        <v>42456</v>
      </c>
      <c r="K66" s="5">
        <f>IF(Table14[[#This Row],[Date of Joining]]="",MEDIAN(Table14[Date of Joining]),Table14[[#This Row],[Date of Joining]])</f>
        <v>42456</v>
      </c>
      <c r="L66" s="10">
        <v>1</v>
      </c>
      <c r="M66" s="10">
        <f>IF(Table14[[#This Row],[Performance Rating]]="",0,Table14[[#This Row],[Performance Rating]])</f>
        <v>1</v>
      </c>
      <c r="N66" t="s">
        <v>180</v>
      </c>
      <c r="O66" t="str">
        <f>IF(Table14[[#This Row],[Gender]]="","Unknown",N66)</f>
        <v>Male</v>
      </c>
      <c r="P66" t="s">
        <v>236</v>
      </c>
      <c r="Q66" t="str">
        <f>IF(Table14[[#This Row],[Email]]="invalid_email","Unknown",P66)</f>
        <v>user141@example.com</v>
      </c>
    </row>
    <row r="67" spans="1:17" x14ac:dyDescent="0.3">
      <c r="A67" t="s">
        <v>74</v>
      </c>
      <c r="B67" t="s">
        <v>163</v>
      </c>
      <c r="C67" t="str">
        <f>IF(Table14[[#This Row],[Name]]="","Unknown",Table14[[#This Row],[Name]])</f>
        <v>Sam Wilson</v>
      </c>
      <c r="D67" t="s">
        <v>166</v>
      </c>
      <c r="E67" t="str">
        <f>IF(Table14[[#This Row],[Department]]="","Unknown",Table14[[#This Row],[Department]])</f>
        <v>Finance</v>
      </c>
      <c r="F67" t="s">
        <v>174</v>
      </c>
      <c r="G67" t="str">
        <f>IF(Table14[[#This Row],[Country]]="","Unknown",Table14[[#This Row],[Country]])</f>
        <v>India</v>
      </c>
      <c r="H67" s="3">
        <v>33468</v>
      </c>
      <c r="I67" s="3">
        <f>IF(Table14[[#This Row],[Salary]]="N/A",AVERAGEIF(Table14[Department2],Table14[[#This Row],[Department2]],Table14[Salary]),H67)</f>
        <v>33468</v>
      </c>
      <c r="J67" s="5">
        <v>42463</v>
      </c>
      <c r="K67" s="5">
        <f>IF(Table14[[#This Row],[Date of Joining]]="",MEDIAN(Table14[Date of Joining]),Table14[[#This Row],[Date of Joining]])</f>
        <v>42463</v>
      </c>
      <c r="L67" s="10">
        <v>4</v>
      </c>
      <c r="M67" s="10">
        <f>IF(Table14[[#This Row],[Performance Rating]]="",0,Table14[[#This Row],[Performance Rating]])</f>
        <v>4</v>
      </c>
      <c r="N67" t="s">
        <v>180</v>
      </c>
      <c r="O67" t="str">
        <f>IF(Table14[[#This Row],[Gender]]="","Unknown",N67)</f>
        <v>Male</v>
      </c>
      <c r="P67" t="s">
        <v>237</v>
      </c>
      <c r="Q67" t="str">
        <f>IF(Table14[[#This Row],[Email]]="invalid_email","Unknown",P67)</f>
        <v>user125@example.com</v>
      </c>
    </row>
    <row r="68" spans="1:17" x14ac:dyDescent="0.3">
      <c r="A68" t="s">
        <v>75</v>
      </c>
      <c r="B68" t="s">
        <v>163</v>
      </c>
      <c r="C68" t="str">
        <f>IF(Table14[[#This Row],[Name]]="","Unknown",Table14[[#This Row],[Name]])</f>
        <v>Sam Wilson</v>
      </c>
      <c r="E68" t="str">
        <f>IF(Table14[[#This Row],[Department]]="","Unknown",Table14[[#This Row],[Department]])</f>
        <v>Unknown</v>
      </c>
      <c r="F68" t="s">
        <v>176</v>
      </c>
      <c r="G68" t="str">
        <f>IF(Table14[[#This Row],[Country]]="","Unknown",Table14[[#This Row],[Country]])</f>
        <v>Australia</v>
      </c>
      <c r="H68" s="3">
        <v>96365</v>
      </c>
      <c r="I68" s="3">
        <f>IF(Table14[[#This Row],[Salary]]="N/A",AVERAGEIF(Table14[Department2],Table14[[#This Row],[Department2]],Table14[Salary]),H68)</f>
        <v>96365</v>
      </c>
      <c r="J68" s="5">
        <v>42470</v>
      </c>
      <c r="K68" s="5">
        <f>IF(Table14[[#This Row],[Date of Joining]]="",MEDIAN(Table14[Date of Joining]),Table14[[#This Row],[Date of Joining]])</f>
        <v>42470</v>
      </c>
      <c r="L68" s="10">
        <v>3</v>
      </c>
      <c r="M68" s="10">
        <f>IF(Table14[[#This Row],[Performance Rating]]="",0,Table14[[#This Row],[Performance Rating]])</f>
        <v>3</v>
      </c>
      <c r="N68" t="s">
        <v>179</v>
      </c>
      <c r="O68" t="str">
        <f>IF(Table14[[#This Row],[Gender]]="","Unknown",N68)</f>
        <v>Other</v>
      </c>
      <c r="P68" t="s">
        <v>238</v>
      </c>
      <c r="Q68" t="str">
        <f>IF(Table14[[#This Row],[Email]]="invalid_email","Unknown",P68)</f>
        <v>user90@example.com</v>
      </c>
    </row>
    <row r="69" spans="1:17" x14ac:dyDescent="0.3">
      <c r="A69" t="s">
        <v>76</v>
      </c>
      <c r="B69" t="s">
        <v>160</v>
      </c>
      <c r="C69" t="str">
        <f>IF(Table14[[#This Row],[Name]]="","Unknown",Table14[[#This Row],[Name]])</f>
        <v>Alice Brown</v>
      </c>
      <c r="D69" t="s">
        <v>168</v>
      </c>
      <c r="E69" t="str">
        <f>IF(Table14[[#This Row],[Department]]="","Unknown",Table14[[#This Row],[Department]])</f>
        <v>Sales</v>
      </c>
      <c r="F69" t="s">
        <v>174</v>
      </c>
      <c r="G69" t="str">
        <f>IF(Table14[[#This Row],[Country]]="","Unknown",Table14[[#This Row],[Country]])</f>
        <v>India</v>
      </c>
      <c r="H69" s="3">
        <v>61942</v>
      </c>
      <c r="I69" s="3">
        <f>IF(Table14[[#This Row],[Salary]]="N/A",AVERAGEIF(Table14[Department2],Table14[[#This Row],[Department2]],Table14[Salary]),H69)</f>
        <v>61942</v>
      </c>
      <c r="J69" s="5">
        <v>42477</v>
      </c>
      <c r="K69" s="5">
        <f>IF(Table14[[#This Row],[Date of Joining]]="",MEDIAN(Table14[Date of Joining]),Table14[[#This Row],[Date of Joining]])</f>
        <v>42477</v>
      </c>
      <c r="L69" s="10">
        <v>3</v>
      </c>
      <c r="M69" s="10">
        <f>IF(Table14[[#This Row],[Performance Rating]]="",0,Table14[[#This Row],[Performance Rating]])</f>
        <v>3</v>
      </c>
      <c r="N69" t="s">
        <v>181</v>
      </c>
      <c r="O69" t="str">
        <f>IF(Table14[[#This Row],[Gender]]="","Unknown",N69)</f>
        <v>Female</v>
      </c>
      <c r="P69" t="s">
        <v>239</v>
      </c>
      <c r="Q69" t="str">
        <f>IF(Table14[[#This Row],[Email]]="invalid_email","Unknown",P69)</f>
        <v>user192@example.com</v>
      </c>
    </row>
    <row r="70" spans="1:17" x14ac:dyDescent="0.3">
      <c r="A70" t="s">
        <v>77</v>
      </c>
      <c r="B70" t="s">
        <v>163</v>
      </c>
      <c r="C70" t="str">
        <f>IF(Table14[[#This Row],[Name]]="","Unknown",Table14[[#This Row],[Name]])</f>
        <v>Sam Wilson</v>
      </c>
      <c r="D70" t="s">
        <v>166</v>
      </c>
      <c r="E70" t="str">
        <f>IF(Table14[[#This Row],[Department]]="","Unknown",Table14[[#This Row],[Department]])</f>
        <v>Finance</v>
      </c>
      <c r="F70" t="s">
        <v>175</v>
      </c>
      <c r="G70" t="str">
        <f>IF(Table14[[#This Row],[Country]]="","Unknown",Table14[[#This Row],[Country]])</f>
        <v>UK</v>
      </c>
      <c r="H70" s="3">
        <v>41467</v>
      </c>
      <c r="I70" s="3">
        <f>IF(Table14[[#This Row],[Salary]]="N/A",AVERAGEIF(Table14[Department2],Table14[[#This Row],[Department2]],Table14[Salary]),H70)</f>
        <v>41467</v>
      </c>
      <c r="J70" s="5">
        <v>42484</v>
      </c>
      <c r="K70" s="5">
        <f>IF(Table14[[#This Row],[Date of Joining]]="",MEDIAN(Table14[Date of Joining]),Table14[[#This Row],[Date of Joining]])</f>
        <v>42484</v>
      </c>
      <c r="L70" s="10">
        <v>2</v>
      </c>
      <c r="M70" s="10">
        <f>IF(Table14[[#This Row],[Performance Rating]]="",0,Table14[[#This Row],[Performance Rating]])</f>
        <v>2</v>
      </c>
      <c r="O70" t="str">
        <f>IF(Table14[[#This Row],[Gender]]="","Unknown",N70)</f>
        <v>Unknown</v>
      </c>
      <c r="P70" t="s">
        <v>201</v>
      </c>
      <c r="Q70" t="str">
        <f>IF(Table14[[#This Row],[Email]]="invalid_email","Unknown",P70)</f>
        <v>user77@example.com</v>
      </c>
    </row>
    <row r="71" spans="1:17" x14ac:dyDescent="0.3">
      <c r="A71" t="s">
        <v>78</v>
      </c>
      <c r="B71" t="s">
        <v>165</v>
      </c>
      <c r="C71" t="str">
        <f>IF(Table14[[#This Row],[Name]]="","Unknown",Table14[[#This Row],[Name]])</f>
        <v>Bob Johnson</v>
      </c>
      <c r="D71" t="s">
        <v>166</v>
      </c>
      <c r="E71" t="str">
        <f>IF(Table14[[#This Row],[Department]]="","Unknown",Table14[[#This Row],[Department]])</f>
        <v>Finance</v>
      </c>
      <c r="F71" t="s">
        <v>174</v>
      </c>
      <c r="G71" t="str">
        <f>IF(Table14[[#This Row],[Country]]="","Unknown",Table14[[#This Row],[Country]])</f>
        <v>India</v>
      </c>
      <c r="H71" s="3">
        <v>77096</v>
      </c>
      <c r="I71" s="3">
        <f>IF(Table14[[#This Row],[Salary]]="N/A",AVERAGEIF(Table14[Department2],Table14[[#This Row],[Department2]],Table14[Salary]),H71)</f>
        <v>77096</v>
      </c>
      <c r="J71" s="5">
        <v>42491</v>
      </c>
      <c r="K71" s="5">
        <f>IF(Table14[[#This Row],[Date of Joining]]="",MEDIAN(Table14[Date of Joining]),Table14[[#This Row],[Date of Joining]])</f>
        <v>42491</v>
      </c>
      <c r="L71" s="10">
        <v>1</v>
      </c>
      <c r="M71" s="10">
        <f>IF(Table14[[#This Row],[Performance Rating]]="",0,Table14[[#This Row],[Performance Rating]])</f>
        <v>1</v>
      </c>
      <c r="O71" t="str">
        <f>IF(Table14[[#This Row],[Gender]]="","Unknown",N71)</f>
        <v>Unknown</v>
      </c>
      <c r="P71" t="s">
        <v>240</v>
      </c>
      <c r="Q71" t="str">
        <f>IF(Table14[[#This Row],[Email]]="invalid_email","Unknown",P71)</f>
        <v>user65@example.com</v>
      </c>
    </row>
    <row r="72" spans="1:17" x14ac:dyDescent="0.3">
      <c r="A72" t="s">
        <v>79</v>
      </c>
      <c r="B72" t="s">
        <v>159</v>
      </c>
      <c r="C72" t="str">
        <f>IF(Table14[[#This Row],[Name]]="","Unknown",Table14[[#This Row],[Name]])</f>
        <v>Eve Adams</v>
      </c>
      <c r="D72" t="s">
        <v>168</v>
      </c>
      <c r="E72" t="str">
        <f>IF(Table14[[#This Row],[Department]]="","Unknown",Table14[[#This Row],[Department]])</f>
        <v>Sales</v>
      </c>
      <c r="F72" t="s">
        <v>176</v>
      </c>
      <c r="G72" t="str">
        <f>IF(Table14[[#This Row],[Country]]="","Unknown",Table14[[#This Row],[Country]])</f>
        <v>Australia</v>
      </c>
      <c r="H72" s="3">
        <v>69952</v>
      </c>
      <c r="I72" s="3">
        <f>IF(Table14[[#This Row],[Salary]]="N/A",AVERAGEIF(Table14[Department2],Table14[[#This Row],[Department2]],Table14[Salary]),H72)</f>
        <v>69952</v>
      </c>
      <c r="J72" s="5">
        <v>42498</v>
      </c>
      <c r="K72" s="5">
        <f>IF(Table14[[#This Row],[Date of Joining]]="",MEDIAN(Table14[Date of Joining]),Table14[[#This Row],[Date of Joining]])</f>
        <v>42498</v>
      </c>
      <c r="L72" s="10">
        <v>5</v>
      </c>
      <c r="M72" s="10">
        <f>IF(Table14[[#This Row],[Performance Rating]]="",0,Table14[[#This Row],[Performance Rating]])</f>
        <v>5</v>
      </c>
      <c r="N72" t="s">
        <v>181</v>
      </c>
      <c r="O72" t="str">
        <f>IF(Table14[[#This Row],[Gender]]="","Unknown",N72)</f>
        <v>Female</v>
      </c>
      <c r="P72" t="s">
        <v>182</v>
      </c>
      <c r="Q72" t="str">
        <f>IF(Table14[[#This Row],[Email]]="invalid_email","Unknown",P72)</f>
        <v>Unknown</v>
      </c>
    </row>
    <row r="73" spans="1:17" x14ac:dyDescent="0.3">
      <c r="A73" t="s">
        <v>80</v>
      </c>
      <c r="B73" t="s">
        <v>159</v>
      </c>
      <c r="C73" t="str">
        <f>IF(Table14[[#This Row],[Name]]="","Unknown",Table14[[#This Row],[Name]])</f>
        <v>Eve Adams</v>
      </c>
      <c r="D73" t="s">
        <v>170</v>
      </c>
      <c r="E73" t="str">
        <f>IF(Table14[[#This Row],[Department]]="","Unknown",Table14[[#This Row],[Department]])</f>
        <v>Marketing</v>
      </c>
      <c r="F73" t="s">
        <v>173</v>
      </c>
      <c r="G73" t="str">
        <f>IF(Table14[[#This Row],[Country]]="","Unknown",Table14[[#This Row],[Country]])</f>
        <v>USA</v>
      </c>
      <c r="H73" s="3">
        <v>85065</v>
      </c>
      <c r="I73" s="3">
        <f>IF(Table14[[#This Row],[Salary]]="N/A",AVERAGEIF(Table14[Department2],Table14[[#This Row],[Department2]],Table14[Salary]),H73)</f>
        <v>85065</v>
      </c>
      <c r="J73" s="5">
        <v>42505</v>
      </c>
      <c r="K73" s="5">
        <f>IF(Table14[[#This Row],[Date of Joining]]="",MEDIAN(Table14[Date of Joining]),Table14[[#This Row],[Date of Joining]])</f>
        <v>42505</v>
      </c>
      <c r="L73" s="10">
        <v>3</v>
      </c>
      <c r="M73" s="10">
        <f>IF(Table14[[#This Row],[Performance Rating]]="",0,Table14[[#This Row],[Performance Rating]])</f>
        <v>3</v>
      </c>
      <c r="O73" t="str">
        <f>IF(Table14[[#This Row],[Gender]]="","Unknown",N73)</f>
        <v>Unknown</v>
      </c>
      <c r="P73" t="s">
        <v>241</v>
      </c>
      <c r="Q73" t="str">
        <f>IF(Table14[[#This Row],[Email]]="invalid_email","Unknown",P73)</f>
        <v>user142@example.com</v>
      </c>
    </row>
    <row r="74" spans="1:17" x14ac:dyDescent="0.3">
      <c r="A74" t="s">
        <v>81</v>
      </c>
      <c r="B74" t="s">
        <v>165</v>
      </c>
      <c r="C74" t="str">
        <f>IF(Table14[[#This Row],[Name]]="","Unknown",Table14[[#This Row],[Name]])</f>
        <v>Bob Johnson</v>
      </c>
      <c r="D74" t="s">
        <v>170</v>
      </c>
      <c r="E74" t="str">
        <f>IF(Table14[[#This Row],[Department]]="","Unknown",Table14[[#This Row],[Department]])</f>
        <v>Marketing</v>
      </c>
      <c r="F74" t="s">
        <v>174</v>
      </c>
      <c r="G74" t="str">
        <f>IF(Table14[[#This Row],[Country]]="","Unknown",Table14[[#This Row],[Country]])</f>
        <v>India</v>
      </c>
      <c r="H74" s="3">
        <v>56512</v>
      </c>
      <c r="I74" s="3">
        <f>IF(Table14[[#This Row],[Salary]]="N/A",AVERAGEIF(Table14[Department2],Table14[[#This Row],[Department2]],Table14[Salary]),H74)</f>
        <v>56512</v>
      </c>
      <c r="J74" s="5">
        <v>42512</v>
      </c>
      <c r="K74" s="5">
        <f>IF(Table14[[#This Row],[Date of Joining]]="",MEDIAN(Table14[Date of Joining]),Table14[[#This Row],[Date of Joining]])</f>
        <v>42512</v>
      </c>
      <c r="L74" s="10"/>
      <c r="M74" s="10">
        <f>IF(Table14[[#This Row],[Performance Rating]]="",0,Table14[[#This Row],[Performance Rating]])</f>
        <v>0</v>
      </c>
      <c r="N74" t="s">
        <v>179</v>
      </c>
      <c r="O74" t="str">
        <f>IF(Table14[[#This Row],[Gender]]="","Unknown",N74)</f>
        <v>Other</v>
      </c>
      <c r="P74" t="s">
        <v>190</v>
      </c>
      <c r="Q74" t="str">
        <f>IF(Table14[[#This Row],[Email]]="invalid_email","Unknown",P74)</f>
        <v>user153@example.com</v>
      </c>
    </row>
    <row r="75" spans="1:17" x14ac:dyDescent="0.3">
      <c r="A75" t="s">
        <v>82</v>
      </c>
      <c r="B75" t="s">
        <v>161</v>
      </c>
      <c r="C75" t="str">
        <f>IF(Table14[[#This Row],[Name]]="","Unknown",Table14[[#This Row],[Name]])</f>
        <v>John Doe</v>
      </c>
      <c r="D75" t="s">
        <v>168</v>
      </c>
      <c r="E75" t="str">
        <f>IF(Table14[[#This Row],[Department]]="","Unknown",Table14[[#This Row],[Department]])</f>
        <v>Sales</v>
      </c>
      <c r="F75" t="s">
        <v>174</v>
      </c>
      <c r="G75" t="str">
        <f>IF(Table14[[#This Row],[Country]]="","Unknown",Table14[[#This Row],[Country]])</f>
        <v>India</v>
      </c>
      <c r="H75" s="3">
        <v>91101</v>
      </c>
      <c r="I75" s="3">
        <f>IF(Table14[[#This Row],[Salary]]="N/A",AVERAGEIF(Table14[Department2],Table14[[#This Row],[Department2]],Table14[Salary]),H75)</f>
        <v>91101</v>
      </c>
      <c r="J75" s="5">
        <v>42519</v>
      </c>
      <c r="K75" s="5">
        <f>IF(Table14[[#This Row],[Date of Joining]]="",MEDIAN(Table14[Date of Joining]),Table14[[#This Row],[Date of Joining]])</f>
        <v>42519</v>
      </c>
      <c r="L75" s="10">
        <v>4</v>
      </c>
      <c r="M75" s="10">
        <f>IF(Table14[[#This Row],[Performance Rating]]="",0,Table14[[#This Row],[Performance Rating]])</f>
        <v>4</v>
      </c>
      <c r="N75" t="s">
        <v>181</v>
      </c>
      <c r="O75" t="str">
        <f>IF(Table14[[#This Row],[Gender]]="","Unknown",N75)</f>
        <v>Female</v>
      </c>
      <c r="P75" t="s">
        <v>234</v>
      </c>
      <c r="Q75" t="str">
        <f>IF(Table14[[#This Row],[Email]]="invalid_email","Unknown",P75)</f>
        <v>user71@example.com</v>
      </c>
    </row>
    <row r="76" spans="1:17" x14ac:dyDescent="0.3">
      <c r="A76" t="s">
        <v>83</v>
      </c>
      <c r="B76" t="s">
        <v>163</v>
      </c>
      <c r="C76" t="str">
        <f>IF(Table14[[#This Row],[Name]]="","Unknown",Table14[[#This Row],[Name]])</f>
        <v>Sam Wilson</v>
      </c>
      <c r="E76" t="str">
        <f>IF(Table14[[#This Row],[Department]]="","Unknown",Table14[[#This Row],[Department]])</f>
        <v>Unknown</v>
      </c>
      <c r="F76" t="s">
        <v>172</v>
      </c>
      <c r="G76" t="str">
        <f>IF(Table14[[#This Row],[Country]]="","Unknown",Table14[[#This Row],[Country]])</f>
        <v>Germany</v>
      </c>
      <c r="H76" s="3">
        <v>41243</v>
      </c>
      <c r="I76" s="3">
        <f>IF(Table14[[#This Row],[Salary]]="N/A",AVERAGEIF(Table14[Department2],Table14[[#This Row],[Department2]],Table14[Salary]),H76)</f>
        <v>41243</v>
      </c>
      <c r="J76" s="5">
        <v>42526</v>
      </c>
      <c r="K76" s="5">
        <f>IF(Table14[[#This Row],[Date of Joining]]="",MEDIAN(Table14[Date of Joining]),Table14[[#This Row],[Date of Joining]])</f>
        <v>42526</v>
      </c>
      <c r="L76" s="10"/>
      <c r="M76" s="10">
        <f>IF(Table14[[#This Row],[Performance Rating]]="",0,Table14[[#This Row],[Performance Rating]])</f>
        <v>0</v>
      </c>
      <c r="O76" t="str">
        <f>IF(Table14[[#This Row],[Gender]]="","Unknown",N76)</f>
        <v>Unknown</v>
      </c>
      <c r="P76" t="s">
        <v>211</v>
      </c>
      <c r="Q76" t="str">
        <f>IF(Table14[[#This Row],[Email]]="invalid_email","Unknown",P76)</f>
        <v>user143@example.com</v>
      </c>
    </row>
    <row r="77" spans="1:17" x14ac:dyDescent="0.3">
      <c r="A77" t="s">
        <v>84</v>
      </c>
      <c r="C77" t="str">
        <f>IF(Table14[[#This Row],[Name]]="","Unknown",Table14[[#This Row],[Name]])</f>
        <v>Unknown</v>
      </c>
      <c r="D77" t="s">
        <v>168</v>
      </c>
      <c r="E77" t="str">
        <f>IF(Table14[[#This Row],[Department]]="","Unknown",Table14[[#This Row],[Department]])</f>
        <v>Sales</v>
      </c>
      <c r="G77" t="str">
        <f>IF(Table14[[#This Row],[Country]]="","Unknown",Table14[[#This Row],[Country]])</f>
        <v>Unknown</v>
      </c>
      <c r="H77" s="3">
        <v>96142</v>
      </c>
      <c r="I77" s="3">
        <f>IF(Table14[[#This Row],[Salary]]="N/A",AVERAGEIF(Table14[Department2],Table14[[#This Row],[Department2]],Table14[Salary]),H77)</f>
        <v>96142</v>
      </c>
      <c r="J77" s="5">
        <v>42533</v>
      </c>
      <c r="K77" s="5">
        <f>IF(Table14[[#This Row],[Date of Joining]]="",MEDIAN(Table14[Date of Joining]),Table14[[#This Row],[Date of Joining]])</f>
        <v>42533</v>
      </c>
      <c r="L77" s="10">
        <v>1</v>
      </c>
      <c r="M77" s="10">
        <f>IF(Table14[[#This Row],[Performance Rating]]="",0,Table14[[#This Row],[Performance Rating]])</f>
        <v>1</v>
      </c>
      <c r="N77" t="s">
        <v>179</v>
      </c>
      <c r="O77" t="str">
        <f>IF(Table14[[#This Row],[Gender]]="","Unknown",N77)</f>
        <v>Other</v>
      </c>
      <c r="P77" t="s">
        <v>242</v>
      </c>
      <c r="Q77" t="str">
        <f>IF(Table14[[#This Row],[Email]]="invalid_email","Unknown",P77)</f>
        <v>user17@example.com</v>
      </c>
    </row>
    <row r="78" spans="1:17" x14ac:dyDescent="0.3">
      <c r="A78" t="s">
        <v>85</v>
      </c>
      <c r="B78" t="s">
        <v>159</v>
      </c>
      <c r="C78" t="str">
        <f>IF(Table14[[#This Row],[Name]]="","Unknown",Table14[[#This Row],[Name]])</f>
        <v>Eve Adams</v>
      </c>
      <c r="D78" t="s">
        <v>169</v>
      </c>
      <c r="E78" t="str">
        <f>IF(Table14[[#This Row],[Department]]="","Unknown",Table14[[#This Row],[Department]])</f>
        <v>IT</v>
      </c>
      <c r="F78" t="s">
        <v>174</v>
      </c>
      <c r="G78" t="str">
        <f>IF(Table14[[#This Row],[Country]]="","Unknown",Table14[[#This Row],[Country]])</f>
        <v>India</v>
      </c>
      <c r="H78" s="3">
        <v>94301</v>
      </c>
      <c r="I78" s="3">
        <f>IF(Table14[[#This Row],[Salary]]="N/A",AVERAGEIF(Table14[Department2],Table14[[#This Row],[Department2]],Table14[Salary]),H78)</f>
        <v>94301</v>
      </c>
      <c r="J78" s="5">
        <v>42540</v>
      </c>
      <c r="K78" s="5">
        <f>IF(Table14[[#This Row],[Date of Joining]]="",MEDIAN(Table14[Date of Joining]),Table14[[#This Row],[Date of Joining]])</f>
        <v>42540</v>
      </c>
      <c r="L78" s="10">
        <v>1</v>
      </c>
      <c r="M78" s="10">
        <f>IF(Table14[[#This Row],[Performance Rating]]="",0,Table14[[#This Row],[Performance Rating]])</f>
        <v>1</v>
      </c>
      <c r="N78" t="s">
        <v>180</v>
      </c>
      <c r="O78" t="str">
        <f>IF(Table14[[#This Row],[Gender]]="","Unknown",N78)</f>
        <v>Male</v>
      </c>
      <c r="P78" t="s">
        <v>223</v>
      </c>
      <c r="Q78" t="str">
        <f>IF(Table14[[#This Row],[Email]]="invalid_email","Unknown",P78)</f>
        <v>user20@example.com</v>
      </c>
    </row>
    <row r="79" spans="1:17" x14ac:dyDescent="0.3">
      <c r="A79" t="s">
        <v>86</v>
      </c>
      <c r="B79" t="s">
        <v>162</v>
      </c>
      <c r="C79" t="str">
        <f>IF(Table14[[#This Row],[Name]]="","Unknown",Table14[[#This Row],[Name]])</f>
        <v>Jane Smith</v>
      </c>
      <c r="E79" t="str">
        <f>IF(Table14[[#This Row],[Department]]="","Unknown",Table14[[#This Row],[Department]])</f>
        <v>Unknown</v>
      </c>
      <c r="F79" t="s">
        <v>175</v>
      </c>
      <c r="G79" t="str">
        <f>IF(Table14[[#This Row],[Country]]="","Unknown",Table14[[#This Row],[Country]])</f>
        <v>UK</v>
      </c>
      <c r="H79" s="3">
        <v>69166</v>
      </c>
      <c r="I79" s="3">
        <f>IF(Table14[[#This Row],[Salary]]="N/A",AVERAGEIF(Table14[Department2],Table14[[#This Row],[Department2]],Table14[Salary]),H79)</f>
        <v>69166</v>
      </c>
      <c r="J79" s="5">
        <v>42547</v>
      </c>
      <c r="K79" s="5">
        <f>IF(Table14[[#This Row],[Date of Joining]]="",MEDIAN(Table14[Date of Joining]),Table14[[#This Row],[Date of Joining]])</f>
        <v>42547</v>
      </c>
      <c r="L79" s="10">
        <v>1</v>
      </c>
      <c r="M79" s="10">
        <f>IF(Table14[[#This Row],[Performance Rating]]="",0,Table14[[#This Row],[Performance Rating]])</f>
        <v>1</v>
      </c>
      <c r="N79" t="s">
        <v>181</v>
      </c>
      <c r="O79" t="str">
        <f>IF(Table14[[#This Row],[Gender]]="","Unknown",N79)</f>
        <v>Female</v>
      </c>
      <c r="P79" t="s">
        <v>243</v>
      </c>
      <c r="Q79" t="str">
        <f>IF(Table14[[#This Row],[Email]]="invalid_email","Unknown",P79)</f>
        <v>user22@example.com</v>
      </c>
    </row>
    <row r="80" spans="1:17" x14ac:dyDescent="0.3">
      <c r="A80" t="s">
        <v>87</v>
      </c>
      <c r="B80" t="s">
        <v>163</v>
      </c>
      <c r="C80" t="str">
        <f>IF(Table14[[#This Row],[Name]]="","Unknown",Table14[[#This Row],[Name]])</f>
        <v>Sam Wilson</v>
      </c>
      <c r="E80" t="str">
        <f>IF(Table14[[#This Row],[Department]]="","Unknown",Table14[[#This Row],[Department]])</f>
        <v>Unknown</v>
      </c>
      <c r="F80" t="s">
        <v>175</v>
      </c>
      <c r="G80" t="str">
        <f>IF(Table14[[#This Row],[Country]]="","Unknown",Table14[[#This Row],[Country]])</f>
        <v>UK</v>
      </c>
      <c r="H80" s="3">
        <v>78245</v>
      </c>
      <c r="I80" s="3">
        <f>IF(Table14[[#This Row],[Salary]]="N/A",AVERAGEIF(Table14[Department2],Table14[[#This Row],[Department2]],Table14[Salary]),H80)</f>
        <v>78245</v>
      </c>
      <c r="J80" s="5">
        <v>42554</v>
      </c>
      <c r="K80" s="5">
        <f>IF(Table14[[#This Row],[Date of Joining]]="",MEDIAN(Table14[Date of Joining]),Table14[[#This Row],[Date of Joining]])</f>
        <v>42554</v>
      </c>
      <c r="L80" s="10">
        <v>2</v>
      </c>
      <c r="M80" s="10">
        <f>IF(Table14[[#This Row],[Performance Rating]]="",0,Table14[[#This Row],[Performance Rating]])</f>
        <v>2</v>
      </c>
      <c r="O80" t="str">
        <f>IF(Table14[[#This Row],[Gender]]="","Unknown",N80)</f>
        <v>Unknown</v>
      </c>
      <c r="P80" t="s">
        <v>244</v>
      </c>
      <c r="Q80" t="str">
        <f>IF(Table14[[#This Row],[Email]]="invalid_email","Unknown",P80)</f>
        <v>user46@example.com</v>
      </c>
    </row>
    <row r="81" spans="1:17" x14ac:dyDescent="0.3">
      <c r="A81" t="s">
        <v>88</v>
      </c>
      <c r="B81" t="s">
        <v>164</v>
      </c>
      <c r="C81" t="str">
        <f>IF(Table14[[#This Row],[Name]]="","Unknown",Table14[[#This Row],[Name]])</f>
        <v>Chris Lee</v>
      </c>
      <c r="D81" t="s">
        <v>168</v>
      </c>
      <c r="E81" t="str">
        <f>IF(Table14[[#This Row],[Department]]="","Unknown",Table14[[#This Row],[Department]])</f>
        <v>Sales</v>
      </c>
      <c r="F81" t="s">
        <v>173</v>
      </c>
      <c r="G81" t="str">
        <f>IF(Table14[[#This Row],[Country]]="","Unknown",Table14[[#This Row],[Country]])</f>
        <v>USA</v>
      </c>
      <c r="H81" s="3">
        <v>66079</v>
      </c>
      <c r="I81" s="3">
        <f>IF(Table14[[#This Row],[Salary]]="N/A",AVERAGEIF(Table14[Department2],Table14[[#This Row],[Department2]],Table14[Salary]),H81)</f>
        <v>66079</v>
      </c>
      <c r="J81" s="5">
        <v>42561</v>
      </c>
      <c r="K81" s="5">
        <f>IF(Table14[[#This Row],[Date of Joining]]="",MEDIAN(Table14[Date of Joining]),Table14[[#This Row],[Date of Joining]])</f>
        <v>42561</v>
      </c>
      <c r="L81" s="10">
        <v>2</v>
      </c>
      <c r="M81" s="10">
        <f>IF(Table14[[#This Row],[Performance Rating]]="",0,Table14[[#This Row],[Performance Rating]])</f>
        <v>2</v>
      </c>
      <c r="N81" t="s">
        <v>179</v>
      </c>
      <c r="O81" t="str">
        <f>IF(Table14[[#This Row],[Gender]]="","Unknown",N81)</f>
        <v>Other</v>
      </c>
      <c r="P81" t="s">
        <v>245</v>
      </c>
      <c r="Q81" t="str">
        <f>IF(Table14[[#This Row],[Email]]="invalid_email","Unknown",P81)</f>
        <v>user55@example.com</v>
      </c>
    </row>
    <row r="82" spans="1:17" x14ac:dyDescent="0.3">
      <c r="A82" t="s">
        <v>89</v>
      </c>
      <c r="B82" t="s">
        <v>159</v>
      </c>
      <c r="C82" t="str">
        <f>IF(Table14[[#This Row],[Name]]="","Unknown",Table14[[#This Row],[Name]])</f>
        <v>Eve Adams</v>
      </c>
      <c r="D82" t="s">
        <v>170</v>
      </c>
      <c r="E82" t="str">
        <f>IF(Table14[[#This Row],[Department]]="","Unknown",Table14[[#This Row],[Department]])</f>
        <v>Marketing</v>
      </c>
      <c r="F82" t="s">
        <v>174</v>
      </c>
      <c r="G82" t="str">
        <f>IF(Table14[[#This Row],[Country]]="","Unknown",Table14[[#This Row],[Country]])</f>
        <v>India</v>
      </c>
      <c r="H82" s="3" t="s">
        <v>177</v>
      </c>
      <c r="I82" s="3">
        <f>IF(Table14[[#This Row],[Salary]]="N/A",AVERAGEIF(Table14[Department2],Table14[[#This Row],[Department2]],Table14[Salary]),H82)</f>
        <v>63686.692307692305</v>
      </c>
      <c r="K82" s="5">
        <f>IF(Table14[[#This Row],[Date of Joining]]="",MEDIAN(Table14[Date of Joining]),Table14[[#This Row],[Date of Joining]])</f>
        <v>42533</v>
      </c>
      <c r="L82" s="10"/>
      <c r="M82" s="10">
        <f>IF(Table14[[#This Row],[Performance Rating]]="",0,Table14[[#This Row],[Performance Rating]])</f>
        <v>0</v>
      </c>
      <c r="O82" t="str">
        <f>IF(Table14[[#This Row],[Gender]]="","Unknown",N82)</f>
        <v>Unknown</v>
      </c>
      <c r="P82" t="s">
        <v>208</v>
      </c>
      <c r="Q82" t="str">
        <f>IF(Table14[[#This Row],[Email]]="invalid_email","Unknown",P82)</f>
        <v>user135@example.com</v>
      </c>
    </row>
    <row r="83" spans="1:17" x14ac:dyDescent="0.3">
      <c r="A83" t="s">
        <v>90</v>
      </c>
      <c r="B83" t="s">
        <v>162</v>
      </c>
      <c r="C83" t="str">
        <f>IF(Table14[[#This Row],[Name]]="","Unknown",Table14[[#This Row],[Name]])</f>
        <v>Jane Smith</v>
      </c>
      <c r="D83" t="s">
        <v>168</v>
      </c>
      <c r="E83" t="str">
        <f>IF(Table14[[#This Row],[Department]]="","Unknown",Table14[[#This Row],[Department]])</f>
        <v>Sales</v>
      </c>
      <c r="F83" t="s">
        <v>173</v>
      </c>
      <c r="G83" t="str">
        <f>IF(Table14[[#This Row],[Country]]="","Unknown",Table14[[#This Row],[Country]])</f>
        <v>USA</v>
      </c>
      <c r="H83" s="3">
        <v>95621</v>
      </c>
      <c r="I83" s="3">
        <f>IF(Table14[[#This Row],[Salary]]="N/A",AVERAGEIF(Table14[Department2],Table14[[#This Row],[Department2]],Table14[Salary]),H83)</f>
        <v>95621</v>
      </c>
      <c r="J83" s="5">
        <v>42575</v>
      </c>
      <c r="K83" s="5">
        <f>IF(Table14[[#This Row],[Date of Joining]]="",MEDIAN(Table14[Date of Joining]),Table14[[#This Row],[Date of Joining]])</f>
        <v>42575</v>
      </c>
      <c r="L83" s="10">
        <v>3</v>
      </c>
      <c r="M83" s="10">
        <f>IF(Table14[[#This Row],[Performance Rating]]="",0,Table14[[#This Row],[Performance Rating]])</f>
        <v>3</v>
      </c>
      <c r="N83" t="s">
        <v>181</v>
      </c>
      <c r="O83" t="str">
        <f>IF(Table14[[#This Row],[Gender]]="","Unknown",N83)</f>
        <v>Female</v>
      </c>
      <c r="P83" t="s">
        <v>246</v>
      </c>
      <c r="Q83" t="str">
        <f>IF(Table14[[#This Row],[Email]]="invalid_email","Unknown",P83)</f>
        <v>user156@example.com</v>
      </c>
    </row>
    <row r="84" spans="1:17" x14ac:dyDescent="0.3">
      <c r="A84" t="s">
        <v>91</v>
      </c>
      <c r="B84" t="s">
        <v>159</v>
      </c>
      <c r="C84" t="str">
        <f>IF(Table14[[#This Row],[Name]]="","Unknown",Table14[[#This Row],[Name]])</f>
        <v>Eve Adams</v>
      </c>
      <c r="D84" t="s">
        <v>169</v>
      </c>
      <c r="E84" t="str">
        <f>IF(Table14[[#This Row],[Department]]="","Unknown",Table14[[#This Row],[Department]])</f>
        <v>IT</v>
      </c>
      <c r="F84" t="s">
        <v>175</v>
      </c>
      <c r="G84" t="str">
        <f>IF(Table14[[#This Row],[Country]]="","Unknown",Table14[[#This Row],[Country]])</f>
        <v>UK</v>
      </c>
      <c r="H84" s="3">
        <v>42262</v>
      </c>
      <c r="I84" s="3">
        <f>IF(Table14[[#This Row],[Salary]]="N/A",AVERAGEIF(Table14[Department2],Table14[[#This Row],[Department2]],Table14[Salary]),H84)</f>
        <v>42262</v>
      </c>
      <c r="J84" s="5">
        <v>42582</v>
      </c>
      <c r="K84" s="5">
        <f>IF(Table14[[#This Row],[Date of Joining]]="",MEDIAN(Table14[Date of Joining]),Table14[[#This Row],[Date of Joining]])</f>
        <v>42582</v>
      </c>
      <c r="L84" s="10">
        <v>1</v>
      </c>
      <c r="M84" s="10">
        <f>IF(Table14[[#This Row],[Performance Rating]]="",0,Table14[[#This Row],[Performance Rating]])</f>
        <v>1</v>
      </c>
      <c r="O84" t="str">
        <f>IF(Table14[[#This Row],[Gender]]="","Unknown",N84)</f>
        <v>Unknown</v>
      </c>
      <c r="P84" t="s">
        <v>247</v>
      </c>
      <c r="Q84" t="str">
        <f>IF(Table14[[#This Row],[Email]]="invalid_email","Unknown",P84)</f>
        <v>user104@example.com</v>
      </c>
    </row>
    <row r="85" spans="1:17" x14ac:dyDescent="0.3">
      <c r="A85" t="s">
        <v>92</v>
      </c>
      <c r="B85" t="s">
        <v>163</v>
      </c>
      <c r="C85" t="str">
        <f>IF(Table14[[#This Row],[Name]]="","Unknown",Table14[[#This Row],[Name]])</f>
        <v>Sam Wilson</v>
      </c>
      <c r="D85" t="s">
        <v>168</v>
      </c>
      <c r="E85" t="str">
        <f>IF(Table14[[#This Row],[Department]]="","Unknown",Table14[[#This Row],[Department]])</f>
        <v>Sales</v>
      </c>
      <c r="F85" t="s">
        <v>174</v>
      </c>
      <c r="G85" t="str">
        <f>IF(Table14[[#This Row],[Country]]="","Unknown",Table14[[#This Row],[Country]])</f>
        <v>India</v>
      </c>
      <c r="H85" s="3">
        <v>99621</v>
      </c>
      <c r="I85" s="3">
        <f>IF(Table14[[#This Row],[Salary]]="N/A",AVERAGEIF(Table14[Department2],Table14[[#This Row],[Department2]],Table14[Salary]),H85)</f>
        <v>99621</v>
      </c>
      <c r="J85" s="5">
        <v>42589</v>
      </c>
      <c r="K85" s="5">
        <f>IF(Table14[[#This Row],[Date of Joining]]="",MEDIAN(Table14[Date of Joining]),Table14[[#This Row],[Date of Joining]])</f>
        <v>42589</v>
      </c>
      <c r="L85" s="10"/>
      <c r="M85" s="10">
        <f>IF(Table14[[#This Row],[Performance Rating]]="",0,Table14[[#This Row],[Performance Rating]])</f>
        <v>0</v>
      </c>
      <c r="N85" t="s">
        <v>179</v>
      </c>
      <c r="O85" t="str">
        <f>IF(Table14[[#This Row],[Gender]]="","Unknown",N85)</f>
        <v>Other</v>
      </c>
      <c r="P85" t="s">
        <v>248</v>
      </c>
      <c r="Q85" t="str">
        <f>IF(Table14[[#This Row],[Email]]="invalid_email","Unknown",P85)</f>
        <v>user145@example.com</v>
      </c>
    </row>
    <row r="86" spans="1:17" x14ac:dyDescent="0.3">
      <c r="A86" t="s">
        <v>93</v>
      </c>
      <c r="B86" t="s">
        <v>161</v>
      </c>
      <c r="C86" t="str">
        <f>IF(Table14[[#This Row],[Name]]="","Unknown",Table14[[#This Row],[Name]])</f>
        <v>John Doe</v>
      </c>
      <c r="D86" t="s">
        <v>170</v>
      </c>
      <c r="E86" t="str">
        <f>IF(Table14[[#This Row],[Department]]="","Unknown",Table14[[#This Row],[Department]])</f>
        <v>Marketing</v>
      </c>
      <c r="F86" t="s">
        <v>174</v>
      </c>
      <c r="G86" t="str">
        <f>IF(Table14[[#This Row],[Country]]="","Unknown",Table14[[#This Row],[Country]])</f>
        <v>India</v>
      </c>
      <c r="H86" s="3">
        <v>44682</v>
      </c>
      <c r="I86" s="3">
        <f>IF(Table14[[#This Row],[Salary]]="N/A",AVERAGEIF(Table14[Department2],Table14[[#This Row],[Department2]],Table14[Salary]),H86)</f>
        <v>44682</v>
      </c>
      <c r="J86" s="5">
        <v>42596</v>
      </c>
      <c r="K86" s="5">
        <f>IF(Table14[[#This Row],[Date of Joining]]="",MEDIAN(Table14[Date of Joining]),Table14[[#This Row],[Date of Joining]])</f>
        <v>42596</v>
      </c>
      <c r="L86" s="10">
        <v>4</v>
      </c>
      <c r="M86" s="10">
        <f>IF(Table14[[#This Row],[Performance Rating]]="",0,Table14[[#This Row],[Performance Rating]])</f>
        <v>4</v>
      </c>
      <c r="N86" t="s">
        <v>181</v>
      </c>
      <c r="O86" t="str">
        <f>IF(Table14[[#This Row],[Gender]]="","Unknown",N86)</f>
        <v>Female</v>
      </c>
      <c r="P86" t="s">
        <v>220</v>
      </c>
      <c r="Q86" t="str">
        <f>IF(Table14[[#This Row],[Email]]="invalid_email","Unknown",P86)</f>
        <v>user47@example.com</v>
      </c>
    </row>
    <row r="87" spans="1:17" x14ac:dyDescent="0.3">
      <c r="A87" t="s">
        <v>94</v>
      </c>
      <c r="B87" t="s">
        <v>164</v>
      </c>
      <c r="C87" t="str">
        <f>IF(Table14[[#This Row],[Name]]="","Unknown",Table14[[#This Row],[Name]])</f>
        <v>Chris Lee</v>
      </c>
      <c r="D87" t="s">
        <v>166</v>
      </c>
      <c r="E87" t="str">
        <f>IF(Table14[[#This Row],[Department]]="","Unknown",Table14[[#This Row],[Department]])</f>
        <v>Finance</v>
      </c>
      <c r="G87" t="str">
        <f>IF(Table14[[#This Row],[Country]]="","Unknown",Table14[[#This Row],[Country]])</f>
        <v>Unknown</v>
      </c>
      <c r="H87" s="3">
        <v>35163</v>
      </c>
      <c r="I87" s="3">
        <f>IF(Table14[[#This Row],[Salary]]="N/A",AVERAGEIF(Table14[Department2],Table14[[#This Row],[Department2]],Table14[Salary]),H87)</f>
        <v>35163</v>
      </c>
      <c r="J87" s="5">
        <v>42603</v>
      </c>
      <c r="K87" s="5">
        <f>IF(Table14[[#This Row],[Date of Joining]]="",MEDIAN(Table14[Date of Joining]),Table14[[#This Row],[Date of Joining]])</f>
        <v>42603</v>
      </c>
      <c r="L87" s="10">
        <v>5</v>
      </c>
      <c r="M87" s="10">
        <f>IF(Table14[[#This Row],[Performance Rating]]="",0,Table14[[#This Row],[Performance Rating]])</f>
        <v>5</v>
      </c>
      <c r="N87" t="s">
        <v>179</v>
      </c>
      <c r="O87" t="str">
        <f>IF(Table14[[#This Row],[Gender]]="","Unknown",N87)</f>
        <v>Other</v>
      </c>
      <c r="P87" t="s">
        <v>249</v>
      </c>
      <c r="Q87" t="str">
        <f>IF(Table14[[#This Row],[Email]]="invalid_email","Unknown",P87)</f>
        <v>user197@example.com</v>
      </c>
    </row>
    <row r="88" spans="1:17" x14ac:dyDescent="0.3">
      <c r="A88" t="s">
        <v>95</v>
      </c>
      <c r="B88" t="s">
        <v>164</v>
      </c>
      <c r="C88" t="str">
        <f>IF(Table14[[#This Row],[Name]]="","Unknown",Table14[[#This Row],[Name]])</f>
        <v>Chris Lee</v>
      </c>
      <c r="D88" t="s">
        <v>169</v>
      </c>
      <c r="E88" t="str">
        <f>IF(Table14[[#This Row],[Department]]="","Unknown",Table14[[#This Row],[Department]])</f>
        <v>IT</v>
      </c>
      <c r="F88" t="s">
        <v>174</v>
      </c>
      <c r="G88" t="str">
        <f>IF(Table14[[#This Row],[Country]]="","Unknown",Table14[[#This Row],[Country]])</f>
        <v>India</v>
      </c>
      <c r="H88" s="3">
        <v>33483</v>
      </c>
      <c r="I88" s="3">
        <f>IF(Table14[[#This Row],[Salary]]="N/A",AVERAGEIF(Table14[Department2],Table14[[#This Row],[Department2]],Table14[Salary]),H88)</f>
        <v>33483</v>
      </c>
      <c r="J88" s="5">
        <v>42610</v>
      </c>
      <c r="K88" s="5">
        <f>IF(Table14[[#This Row],[Date of Joining]]="",MEDIAN(Table14[Date of Joining]),Table14[[#This Row],[Date of Joining]])</f>
        <v>42610</v>
      </c>
      <c r="L88" s="10">
        <v>4</v>
      </c>
      <c r="M88" s="10">
        <f>IF(Table14[[#This Row],[Performance Rating]]="",0,Table14[[#This Row],[Performance Rating]])</f>
        <v>4</v>
      </c>
      <c r="N88" t="s">
        <v>180</v>
      </c>
      <c r="O88" t="str">
        <f>IF(Table14[[#This Row],[Gender]]="","Unknown",N88)</f>
        <v>Male</v>
      </c>
      <c r="P88" t="s">
        <v>250</v>
      </c>
      <c r="Q88" t="str">
        <f>IF(Table14[[#This Row],[Email]]="invalid_email","Unknown",P88)</f>
        <v>user177@example.com</v>
      </c>
    </row>
    <row r="89" spans="1:17" x14ac:dyDescent="0.3">
      <c r="A89" t="s">
        <v>96</v>
      </c>
      <c r="B89" t="s">
        <v>163</v>
      </c>
      <c r="C89" t="str">
        <f>IF(Table14[[#This Row],[Name]]="","Unknown",Table14[[#This Row],[Name]])</f>
        <v>Sam Wilson</v>
      </c>
      <c r="D89" t="s">
        <v>167</v>
      </c>
      <c r="E89" t="str">
        <f>IF(Table14[[#This Row],[Department]]="","Unknown",Table14[[#This Row],[Department]])</f>
        <v>HR</v>
      </c>
      <c r="F89" t="s">
        <v>172</v>
      </c>
      <c r="G89" t="str">
        <f>IF(Table14[[#This Row],[Country]]="","Unknown",Table14[[#This Row],[Country]])</f>
        <v>Germany</v>
      </c>
      <c r="H89" s="3">
        <v>55303</v>
      </c>
      <c r="I89" s="3">
        <f>IF(Table14[[#This Row],[Salary]]="N/A",AVERAGEIF(Table14[Department2],Table14[[#This Row],[Department2]],Table14[Salary]),H89)</f>
        <v>55303</v>
      </c>
      <c r="J89" s="5">
        <v>42617</v>
      </c>
      <c r="K89" s="5">
        <f>IF(Table14[[#This Row],[Date of Joining]]="",MEDIAN(Table14[Date of Joining]),Table14[[#This Row],[Date of Joining]])</f>
        <v>42617</v>
      </c>
      <c r="L89" s="10">
        <v>4</v>
      </c>
      <c r="M89" s="10">
        <f>IF(Table14[[#This Row],[Performance Rating]]="",0,Table14[[#This Row],[Performance Rating]])</f>
        <v>4</v>
      </c>
      <c r="N89" t="s">
        <v>180</v>
      </c>
      <c r="O89" t="str">
        <f>IF(Table14[[#This Row],[Gender]]="","Unknown",N89)</f>
        <v>Male</v>
      </c>
      <c r="P89" t="s">
        <v>203</v>
      </c>
      <c r="Q89" t="str">
        <f>IF(Table14[[#This Row],[Email]]="invalid_email","Unknown",P89)</f>
        <v>user149@example.com</v>
      </c>
    </row>
    <row r="90" spans="1:17" x14ac:dyDescent="0.3">
      <c r="A90" t="s">
        <v>97</v>
      </c>
      <c r="B90" t="s">
        <v>164</v>
      </c>
      <c r="C90" t="str">
        <f>IF(Table14[[#This Row],[Name]]="","Unknown",Table14[[#This Row],[Name]])</f>
        <v>Chris Lee</v>
      </c>
      <c r="D90" t="s">
        <v>169</v>
      </c>
      <c r="E90" t="str">
        <f>IF(Table14[[#This Row],[Department]]="","Unknown",Table14[[#This Row],[Department]])</f>
        <v>IT</v>
      </c>
      <c r="G90" t="str">
        <f>IF(Table14[[#This Row],[Country]]="","Unknown",Table14[[#This Row],[Country]])</f>
        <v>Unknown</v>
      </c>
      <c r="H90" s="3">
        <v>63434</v>
      </c>
      <c r="I90" s="3">
        <f>IF(Table14[[#This Row],[Salary]]="N/A",AVERAGEIF(Table14[Department2],Table14[[#This Row],[Department2]],Table14[Salary]),H90)</f>
        <v>63434</v>
      </c>
      <c r="J90" s="5">
        <v>42624</v>
      </c>
      <c r="K90" s="5">
        <f>IF(Table14[[#This Row],[Date of Joining]]="",MEDIAN(Table14[Date of Joining]),Table14[[#This Row],[Date of Joining]])</f>
        <v>42624</v>
      </c>
      <c r="L90" s="10">
        <v>3</v>
      </c>
      <c r="M90" s="10">
        <f>IF(Table14[[#This Row],[Performance Rating]]="",0,Table14[[#This Row],[Performance Rating]])</f>
        <v>3</v>
      </c>
      <c r="O90" t="str">
        <f>IF(Table14[[#This Row],[Gender]]="","Unknown",N90)</f>
        <v>Unknown</v>
      </c>
      <c r="P90" t="s">
        <v>251</v>
      </c>
      <c r="Q90" t="str">
        <f>IF(Table14[[#This Row],[Email]]="invalid_email","Unknown",P90)</f>
        <v>user48@example.com</v>
      </c>
    </row>
    <row r="91" spans="1:17" x14ac:dyDescent="0.3">
      <c r="A91" t="s">
        <v>98</v>
      </c>
      <c r="B91" t="s">
        <v>162</v>
      </c>
      <c r="C91" t="str">
        <f>IF(Table14[[#This Row],[Name]]="","Unknown",Table14[[#This Row],[Name]])</f>
        <v>Jane Smith</v>
      </c>
      <c r="E91" t="str">
        <f>IF(Table14[[#This Row],[Department]]="","Unknown",Table14[[#This Row],[Department]])</f>
        <v>Unknown</v>
      </c>
      <c r="F91" t="s">
        <v>176</v>
      </c>
      <c r="G91" t="str">
        <f>IF(Table14[[#This Row],[Country]]="","Unknown",Table14[[#This Row],[Country]])</f>
        <v>Australia</v>
      </c>
      <c r="H91" s="3">
        <v>38830</v>
      </c>
      <c r="I91" s="3">
        <f>IF(Table14[[#This Row],[Salary]]="N/A",AVERAGEIF(Table14[Department2],Table14[[#This Row],[Department2]],Table14[Salary]),H91)</f>
        <v>38830</v>
      </c>
      <c r="J91" s="5">
        <v>42631</v>
      </c>
      <c r="K91" s="5">
        <f>IF(Table14[[#This Row],[Date of Joining]]="",MEDIAN(Table14[Date of Joining]),Table14[[#This Row],[Date of Joining]])</f>
        <v>42631</v>
      </c>
      <c r="L91" s="10">
        <v>3</v>
      </c>
      <c r="M91" s="10">
        <f>IF(Table14[[#This Row],[Performance Rating]]="",0,Table14[[#This Row],[Performance Rating]])</f>
        <v>3</v>
      </c>
      <c r="N91" t="s">
        <v>179</v>
      </c>
      <c r="O91" t="str">
        <f>IF(Table14[[#This Row],[Gender]]="","Unknown",N91)</f>
        <v>Other</v>
      </c>
      <c r="P91" t="s">
        <v>203</v>
      </c>
      <c r="Q91" t="str">
        <f>IF(Table14[[#This Row],[Email]]="invalid_email","Unknown",P91)</f>
        <v>user149@example.com</v>
      </c>
    </row>
    <row r="92" spans="1:17" x14ac:dyDescent="0.3">
      <c r="A92" t="s">
        <v>99</v>
      </c>
      <c r="C92" t="str">
        <f>IF(Table14[[#This Row],[Name]]="","Unknown",Table14[[#This Row],[Name]])</f>
        <v>Unknown</v>
      </c>
      <c r="D92" t="s">
        <v>170</v>
      </c>
      <c r="E92" t="str">
        <f>IF(Table14[[#This Row],[Department]]="","Unknown",Table14[[#This Row],[Department]])</f>
        <v>Marketing</v>
      </c>
      <c r="F92" t="s">
        <v>175</v>
      </c>
      <c r="G92" t="str">
        <f>IF(Table14[[#This Row],[Country]]="","Unknown",Table14[[#This Row],[Country]])</f>
        <v>UK</v>
      </c>
      <c r="H92" s="3">
        <v>50741</v>
      </c>
      <c r="I92" s="3">
        <f>IF(Table14[[#This Row],[Salary]]="N/A",AVERAGEIF(Table14[Department2],Table14[[#This Row],[Department2]],Table14[Salary]),H92)</f>
        <v>50741</v>
      </c>
      <c r="J92" s="5">
        <v>42638</v>
      </c>
      <c r="K92" s="5">
        <f>IF(Table14[[#This Row],[Date of Joining]]="",MEDIAN(Table14[Date of Joining]),Table14[[#This Row],[Date of Joining]])</f>
        <v>42638</v>
      </c>
      <c r="L92" s="10">
        <v>3</v>
      </c>
      <c r="M92" s="10">
        <f>IF(Table14[[#This Row],[Performance Rating]]="",0,Table14[[#This Row],[Performance Rating]])</f>
        <v>3</v>
      </c>
      <c r="N92" t="s">
        <v>178</v>
      </c>
      <c r="O92" t="str">
        <f>IF(Table14[[#This Row],[Gender]]="","Unknown",N92)</f>
        <v>Unknown</v>
      </c>
      <c r="P92" t="s">
        <v>240</v>
      </c>
      <c r="Q92" t="str">
        <f>IF(Table14[[#This Row],[Email]]="invalid_email","Unknown",P92)</f>
        <v>user65@example.com</v>
      </c>
    </row>
    <row r="93" spans="1:17" x14ac:dyDescent="0.3">
      <c r="A93" t="s">
        <v>100</v>
      </c>
      <c r="B93" t="s">
        <v>160</v>
      </c>
      <c r="C93" t="str">
        <f>IF(Table14[[#This Row],[Name]]="","Unknown",Table14[[#This Row],[Name]])</f>
        <v>Alice Brown</v>
      </c>
      <c r="D93" t="s">
        <v>167</v>
      </c>
      <c r="E93" t="str">
        <f>IF(Table14[[#This Row],[Department]]="","Unknown",Table14[[#This Row],[Department]])</f>
        <v>HR</v>
      </c>
      <c r="F93" t="s">
        <v>176</v>
      </c>
      <c r="G93" t="str">
        <f>IF(Table14[[#This Row],[Country]]="","Unknown",Table14[[#This Row],[Country]])</f>
        <v>Australia</v>
      </c>
      <c r="H93" s="3">
        <v>69420</v>
      </c>
      <c r="I93" s="3">
        <f>IF(Table14[[#This Row],[Salary]]="N/A",AVERAGEIF(Table14[Department2],Table14[[#This Row],[Department2]],Table14[Salary]),H93)</f>
        <v>69420</v>
      </c>
      <c r="J93" s="5">
        <v>42645</v>
      </c>
      <c r="K93" s="5">
        <f>IF(Table14[[#This Row],[Date of Joining]]="",MEDIAN(Table14[Date of Joining]),Table14[[#This Row],[Date of Joining]])</f>
        <v>42645</v>
      </c>
      <c r="L93" s="10">
        <v>1</v>
      </c>
      <c r="M93" s="10">
        <f>IF(Table14[[#This Row],[Performance Rating]]="",0,Table14[[#This Row],[Performance Rating]])</f>
        <v>1</v>
      </c>
      <c r="N93" t="s">
        <v>180</v>
      </c>
      <c r="O93" t="str">
        <f>IF(Table14[[#This Row],[Gender]]="","Unknown",N93)</f>
        <v>Male</v>
      </c>
      <c r="P93" t="s">
        <v>225</v>
      </c>
      <c r="Q93" t="str">
        <f>IF(Table14[[#This Row],[Email]]="invalid_email","Unknown",P93)</f>
        <v>user43@example.com</v>
      </c>
    </row>
    <row r="94" spans="1:17" x14ac:dyDescent="0.3">
      <c r="A94" t="s">
        <v>101</v>
      </c>
      <c r="B94" t="s">
        <v>162</v>
      </c>
      <c r="C94" t="str">
        <f>IF(Table14[[#This Row],[Name]]="","Unknown",Table14[[#This Row],[Name]])</f>
        <v>Jane Smith</v>
      </c>
      <c r="D94" t="s">
        <v>169</v>
      </c>
      <c r="E94" t="str">
        <f>IF(Table14[[#This Row],[Department]]="","Unknown",Table14[[#This Row],[Department]])</f>
        <v>IT</v>
      </c>
      <c r="G94" t="str">
        <f>IF(Table14[[#This Row],[Country]]="","Unknown",Table14[[#This Row],[Country]])</f>
        <v>Unknown</v>
      </c>
      <c r="H94" s="3">
        <v>80588</v>
      </c>
      <c r="I94" s="3">
        <f>IF(Table14[[#This Row],[Salary]]="N/A",AVERAGEIF(Table14[Department2],Table14[[#This Row],[Department2]],Table14[Salary]),H94)</f>
        <v>80588</v>
      </c>
      <c r="J94" s="5">
        <v>42652</v>
      </c>
      <c r="K94" s="5">
        <f>IF(Table14[[#This Row],[Date of Joining]]="",MEDIAN(Table14[Date of Joining]),Table14[[#This Row],[Date of Joining]])</f>
        <v>42652</v>
      </c>
      <c r="L94" s="10">
        <v>5</v>
      </c>
      <c r="M94" s="10">
        <f>IF(Table14[[#This Row],[Performance Rating]]="",0,Table14[[#This Row],[Performance Rating]])</f>
        <v>5</v>
      </c>
      <c r="N94" t="s">
        <v>180</v>
      </c>
      <c r="O94" t="str">
        <f>IF(Table14[[#This Row],[Gender]]="","Unknown",N94)</f>
        <v>Male</v>
      </c>
      <c r="P94" t="s">
        <v>216</v>
      </c>
      <c r="Q94" t="str">
        <f>IF(Table14[[#This Row],[Email]]="invalid_email","Unknown",P94)</f>
        <v>user98@example.com</v>
      </c>
    </row>
    <row r="95" spans="1:17" x14ac:dyDescent="0.3">
      <c r="A95" t="s">
        <v>102</v>
      </c>
      <c r="B95" t="s">
        <v>160</v>
      </c>
      <c r="C95" t="str">
        <f>IF(Table14[[#This Row],[Name]]="","Unknown",Table14[[#This Row],[Name]])</f>
        <v>Alice Brown</v>
      </c>
      <c r="E95" t="str">
        <f>IF(Table14[[#This Row],[Department]]="","Unknown",Table14[[#This Row],[Department]])</f>
        <v>Unknown</v>
      </c>
      <c r="F95" t="s">
        <v>173</v>
      </c>
      <c r="G95" t="str">
        <f>IF(Table14[[#This Row],[Country]]="","Unknown",Table14[[#This Row],[Country]])</f>
        <v>USA</v>
      </c>
      <c r="H95" s="3">
        <v>76238</v>
      </c>
      <c r="I95" s="3">
        <f>IF(Table14[[#This Row],[Salary]]="N/A",AVERAGEIF(Table14[Department2],Table14[[#This Row],[Department2]],Table14[Salary]),H95)</f>
        <v>76238</v>
      </c>
      <c r="J95" s="5">
        <v>42659</v>
      </c>
      <c r="K95" s="5">
        <f>IF(Table14[[#This Row],[Date of Joining]]="",MEDIAN(Table14[Date of Joining]),Table14[[#This Row],[Date of Joining]])</f>
        <v>42659</v>
      </c>
      <c r="L95" s="10">
        <v>4</v>
      </c>
      <c r="M95" s="10">
        <f>IF(Table14[[#This Row],[Performance Rating]]="",0,Table14[[#This Row],[Performance Rating]])</f>
        <v>4</v>
      </c>
      <c r="N95" t="s">
        <v>180</v>
      </c>
      <c r="O95" t="str">
        <f>IF(Table14[[#This Row],[Gender]]="","Unknown",N95)</f>
        <v>Male</v>
      </c>
      <c r="P95" t="s">
        <v>252</v>
      </c>
      <c r="Q95" t="str">
        <f>IF(Table14[[#This Row],[Email]]="invalid_email","Unknown",P95)</f>
        <v>user102@example.com</v>
      </c>
    </row>
    <row r="96" spans="1:17" x14ac:dyDescent="0.3">
      <c r="A96" t="s">
        <v>103</v>
      </c>
      <c r="B96" t="s">
        <v>165</v>
      </c>
      <c r="C96" t="str">
        <f>IF(Table14[[#This Row],[Name]]="","Unknown",Table14[[#This Row],[Name]])</f>
        <v>Bob Johnson</v>
      </c>
      <c r="D96" t="s">
        <v>169</v>
      </c>
      <c r="E96" t="str">
        <f>IF(Table14[[#This Row],[Department]]="","Unknown",Table14[[#This Row],[Department]])</f>
        <v>IT</v>
      </c>
      <c r="F96" t="s">
        <v>174</v>
      </c>
      <c r="G96" t="str">
        <f>IF(Table14[[#This Row],[Country]]="","Unknown",Table14[[#This Row],[Country]])</f>
        <v>India</v>
      </c>
      <c r="H96" s="3">
        <v>33264</v>
      </c>
      <c r="I96" s="3">
        <f>IF(Table14[[#This Row],[Salary]]="N/A",AVERAGEIF(Table14[Department2],Table14[[#This Row],[Department2]],Table14[Salary]),H96)</f>
        <v>33264</v>
      </c>
      <c r="J96" s="5">
        <v>42666</v>
      </c>
      <c r="K96" s="5">
        <f>IF(Table14[[#This Row],[Date of Joining]]="",MEDIAN(Table14[Date of Joining]),Table14[[#This Row],[Date of Joining]])</f>
        <v>42666</v>
      </c>
      <c r="L96" s="10"/>
      <c r="M96" s="10">
        <f>IF(Table14[[#This Row],[Performance Rating]]="",0,Table14[[#This Row],[Performance Rating]])</f>
        <v>0</v>
      </c>
      <c r="N96" t="s">
        <v>181</v>
      </c>
      <c r="O96" t="str">
        <f>IF(Table14[[#This Row],[Gender]]="","Unknown",N96)</f>
        <v>Female</v>
      </c>
      <c r="P96" t="s">
        <v>253</v>
      </c>
      <c r="Q96" t="str">
        <f>IF(Table14[[#This Row],[Email]]="invalid_email","Unknown",P96)</f>
        <v>user148@example.com</v>
      </c>
    </row>
    <row r="97" spans="1:17" x14ac:dyDescent="0.3">
      <c r="A97" t="s">
        <v>104</v>
      </c>
      <c r="B97" t="s">
        <v>160</v>
      </c>
      <c r="C97" t="str">
        <f>IF(Table14[[#This Row],[Name]]="","Unknown",Table14[[#This Row],[Name]])</f>
        <v>Alice Brown</v>
      </c>
      <c r="D97" t="s">
        <v>166</v>
      </c>
      <c r="E97" t="str">
        <f>IF(Table14[[#This Row],[Department]]="","Unknown",Table14[[#This Row],[Department]])</f>
        <v>Finance</v>
      </c>
      <c r="F97" t="s">
        <v>176</v>
      </c>
      <c r="G97" t="str">
        <f>IF(Table14[[#This Row],[Country]]="","Unknown",Table14[[#This Row],[Country]])</f>
        <v>Australia</v>
      </c>
      <c r="H97" s="3">
        <v>96101</v>
      </c>
      <c r="I97" s="3">
        <f>IF(Table14[[#This Row],[Salary]]="N/A",AVERAGEIF(Table14[Department2],Table14[[#This Row],[Department2]],Table14[Salary]),H97)</f>
        <v>96101</v>
      </c>
      <c r="J97" s="5">
        <v>42673</v>
      </c>
      <c r="K97" s="5">
        <f>IF(Table14[[#This Row],[Date of Joining]]="",MEDIAN(Table14[Date of Joining]),Table14[[#This Row],[Date of Joining]])</f>
        <v>42673</v>
      </c>
      <c r="L97" s="10"/>
      <c r="M97" s="10">
        <f>IF(Table14[[#This Row],[Performance Rating]]="",0,Table14[[#This Row],[Performance Rating]])</f>
        <v>0</v>
      </c>
      <c r="N97" t="s">
        <v>179</v>
      </c>
      <c r="O97" t="str">
        <f>IF(Table14[[#This Row],[Gender]]="","Unknown",N97)</f>
        <v>Other</v>
      </c>
      <c r="P97" t="s">
        <v>254</v>
      </c>
      <c r="Q97" t="str">
        <f>IF(Table14[[#This Row],[Email]]="invalid_email","Unknown",P97)</f>
        <v>user155@example.com</v>
      </c>
    </row>
    <row r="98" spans="1:17" x14ac:dyDescent="0.3">
      <c r="A98" t="s">
        <v>105</v>
      </c>
      <c r="B98" t="s">
        <v>162</v>
      </c>
      <c r="C98" t="str">
        <f>IF(Table14[[#This Row],[Name]]="","Unknown",Table14[[#This Row],[Name]])</f>
        <v>Jane Smith</v>
      </c>
      <c r="D98" t="s">
        <v>166</v>
      </c>
      <c r="E98" t="str">
        <f>IF(Table14[[#This Row],[Department]]="","Unknown",Table14[[#This Row],[Department]])</f>
        <v>Finance</v>
      </c>
      <c r="F98" t="s">
        <v>173</v>
      </c>
      <c r="G98" t="str">
        <f>IF(Table14[[#This Row],[Country]]="","Unknown",Table14[[#This Row],[Country]])</f>
        <v>USA</v>
      </c>
      <c r="H98" s="3">
        <v>72939</v>
      </c>
      <c r="I98" s="3">
        <f>IF(Table14[[#This Row],[Salary]]="N/A",AVERAGEIF(Table14[Department2],Table14[[#This Row],[Department2]],Table14[Salary]),H98)</f>
        <v>72939</v>
      </c>
      <c r="J98" s="5">
        <v>42680</v>
      </c>
      <c r="K98" s="5">
        <f>IF(Table14[[#This Row],[Date of Joining]]="",MEDIAN(Table14[Date of Joining]),Table14[[#This Row],[Date of Joining]])</f>
        <v>42680</v>
      </c>
      <c r="L98" s="10">
        <v>3</v>
      </c>
      <c r="M98" s="10">
        <f>IF(Table14[[#This Row],[Performance Rating]]="",0,Table14[[#This Row],[Performance Rating]])</f>
        <v>3</v>
      </c>
      <c r="O98" t="str">
        <f>IF(Table14[[#This Row],[Gender]]="","Unknown",N98)</f>
        <v>Unknown</v>
      </c>
      <c r="P98" t="s">
        <v>255</v>
      </c>
      <c r="Q98" t="str">
        <f>IF(Table14[[#This Row],[Email]]="invalid_email","Unknown",P98)</f>
        <v>user191@example.com</v>
      </c>
    </row>
    <row r="99" spans="1:17" x14ac:dyDescent="0.3">
      <c r="A99" t="s">
        <v>106</v>
      </c>
      <c r="B99" t="s">
        <v>163</v>
      </c>
      <c r="C99" t="str">
        <f>IF(Table14[[#This Row],[Name]]="","Unknown",Table14[[#This Row],[Name]])</f>
        <v>Sam Wilson</v>
      </c>
      <c r="D99" t="s">
        <v>167</v>
      </c>
      <c r="E99" t="str">
        <f>IF(Table14[[#This Row],[Department]]="","Unknown",Table14[[#This Row],[Department]])</f>
        <v>HR</v>
      </c>
      <c r="F99" t="s">
        <v>172</v>
      </c>
      <c r="G99" t="str">
        <f>IF(Table14[[#This Row],[Country]]="","Unknown",Table14[[#This Row],[Country]])</f>
        <v>Germany</v>
      </c>
      <c r="H99" s="3">
        <v>89333</v>
      </c>
      <c r="I99" s="3">
        <f>IF(Table14[[#This Row],[Salary]]="N/A",AVERAGEIF(Table14[Department2],Table14[[#This Row],[Department2]],Table14[Salary]),H99)</f>
        <v>89333</v>
      </c>
      <c r="J99" s="5">
        <v>42687</v>
      </c>
      <c r="K99" s="5">
        <f>IF(Table14[[#This Row],[Date of Joining]]="",MEDIAN(Table14[Date of Joining]),Table14[[#This Row],[Date of Joining]])</f>
        <v>42687</v>
      </c>
      <c r="L99" s="10">
        <v>1</v>
      </c>
      <c r="M99" s="10">
        <f>IF(Table14[[#This Row],[Performance Rating]]="",0,Table14[[#This Row],[Performance Rating]])</f>
        <v>1</v>
      </c>
      <c r="N99" t="s">
        <v>180</v>
      </c>
      <c r="O99" t="str">
        <f>IF(Table14[[#This Row],[Gender]]="","Unknown",N99)</f>
        <v>Male</v>
      </c>
      <c r="P99" t="s">
        <v>256</v>
      </c>
      <c r="Q99" t="str">
        <f>IF(Table14[[#This Row],[Email]]="invalid_email","Unknown",P99)</f>
        <v>user113@example.com</v>
      </c>
    </row>
    <row r="100" spans="1:17" x14ac:dyDescent="0.3">
      <c r="A100" t="s">
        <v>107</v>
      </c>
      <c r="B100" t="s">
        <v>165</v>
      </c>
      <c r="C100" t="str">
        <f>IF(Table14[[#This Row],[Name]]="","Unknown",Table14[[#This Row],[Name]])</f>
        <v>Bob Johnson</v>
      </c>
      <c r="D100" t="s">
        <v>169</v>
      </c>
      <c r="E100" t="str">
        <f>IF(Table14[[#This Row],[Department]]="","Unknown",Table14[[#This Row],[Department]])</f>
        <v>IT</v>
      </c>
      <c r="F100" t="s">
        <v>176</v>
      </c>
      <c r="G100" t="str">
        <f>IF(Table14[[#This Row],[Country]]="","Unknown",Table14[[#This Row],[Country]])</f>
        <v>Australia</v>
      </c>
      <c r="H100" s="3">
        <v>70470</v>
      </c>
      <c r="I100" s="3">
        <f>IF(Table14[[#This Row],[Salary]]="N/A",AVERAGEIF(Table14[Department2],Table14[[#This Row],[Department2]],Table14[Salary]),H100)</f>
        <v>70470</v>
      </c>
      <c r="J100" s="5">
        <v>42694</v>
      </c>
      <c r="K100" s="5">
        <f>IF(Table14[[#This Row],[Date of Joining]]="",MEDIAN(Table14[Date of Joining]),Table14[[#This Row],[Date of Joining]])</f>
        <v>42694</v>
      </c>
      <c r="L100" s="10"/>
      <c r="M100" s="10">
        <f>IF(Table14[[#This Row],[Performance Rating]]="",0,Table14[[#This Row],[Performance Rating]])</f>
        <v>0</v>
      </c>
      <c r="N100" t="s">
        <v>180</v>
      </c>
      <c r="O100" t="str">
        <f>IF(Table14[[#This Row],[Gender]]="","Unknown",N100)</f>
        <v>Male</v>
      </c>
      <c r="P100" t="s">
        <v>257</v>
      </c>
      <c r="Q100" t="str">
        <f>IF(Table14[[#This Row],[Email]]="invalid_email","Unknown",P100)</f>
        <v>user62@example.com</v>
      </c>
    </row>
    <row r="101" spans="1:17" x14ac:dyDescent="0.3">
      <c r="A101" t="s">
        <v>108</v>
      </c>
      <c r="B101" t="s">
        <v>159</v>
      </c>
      <c r="C101" t="str">
        <f>IF(Table14[[#This Row],[Name]]="","Unknown",Table14[[#This Row],[Name]])</f>
        <v>Eve Adams</v>
      </c>
      <c r="D101" t="s">
        <v>170</v>
      </c>
      <c r="E101" t="str">
        <f>IF(Table14[[#This Row],[Department]]="","Unknown",Table14[[#This Row],[Department]])</f>
        <v>Marketing</v>
      </c>
      <c r="F101" t="s">
        <v>173</v>
      </c>
      <c r="G101" t="str">
        <f>IF(Table14[[#This Row],[Country]]="","Unknown",Table14[[#This Row],[Country]])</f>
        <v>USA</v>
      </c>
      <c r="H101" s="3">
        <v>70096</v>
      </c>
      <c r="I101" s="3">
        <f>IF(Table14[[#This Row],[Salary]]="N/A",AVERAGEIF(Table14[Department2],Table14[[#This Row],[Department2]],Table14[Salary]),H101)</f>
        <v>70096</v>
      </c>
      <c r="J101" s="5">
        <v>42701</v>
      </c>
      <c r="K101" s="5">
        <f>IF(Table14[[#This Row],[Date of Joining]]="",MEDIAN(Table14[Date of Joining]),Table14[[#This Row],[Date of Joining]])</f>
        <v>42701</v>
      </c>
      <c r="L101" s="10">
        <v>4</v>
      </c>
      <c r="M101" s="10">
        <f>IF(Table14[[#This Row],[Performance Rating]]="",0,Table14[[#This Row],[Performance Rating]])</f>
        <v>4</v>
      </c>
      <c r="N101" t="s">
        <v>180</v>
      </c>
      <c r="O101" t="str">
        <f>IF(Table14[[#This Row],[Gender]]="","Unknown",N101)</f>
        <v>Male</v>
      </c>
      <c r="P101" t="s">
        <v>258</v>
      </c>
      <c r="Q101" t="str">
        <f>IF(Table14[[#This Row],[Email]]="invalid_email","Unknown",P101)</f>
        <v>user76@example.com</v>
      </c>
    </row>
    <row r="102" spans="1:17" x14ac:dyDescent="0.3">
      <c r="A102" t="s">
        <v>109</v>
      </c>
      <c r="B102" t="s">
        <v>165</v>
      </c>
      <c r="C102" t="str">
        <f>IF(Table14[[#This Row],[Name]]="","Unknown",Table14[[#This Row],[Name]])</f>
        <v>Bob Johnson</v>
      </c>
      <c r="D102" t="s">
        <v>170</v>
      </c>
      <c r="E102" t="str">
        <f>IF(Table14[[#This Row],[Department]]="","Unknown",Table14[[#This Row],[Department]])</f>
        <v>Marketing</v>
      </c>
      <c r="G102" t="str">
        <f>IF(Table14[[#This Row],[Country]]="","Unknown",Table14[[#This Row],[Country]])</f>
        <v>Unknown</v>
      </c>
      <c r="H102" s="3" t="s">
        <v>177</v>
      </c>
      <c r="I102" s="3">
        <f>IF(Table14[[#This Row],[Salary]]="N/A",AVERAGEIF(Table14[Department2],Table14[[#This Row],[Department2]],Table14[Salary]),H102)</f>
        <v>63686.692307692305</v>
      </c>
      <c r="J102" s="5">
        <v>42708</v>
      </c>
      <c r="K102" s="5">
        <f>IF(Table14[[#This Row],[Date of Joining]]="",MEDIAN(Table14[Date of Joining]),Table14[[#This Row],[Date of Joining]])</f>
        <v>42708</v>
      </c>
      <c r="L102" s="10">
        <v>2</v>
      </c>
      <c r="M102" s="10">
        <f>IF(Table14[[#This Row],[Performance Rating]]="",0,Table14[[#This Row],[Performance Rating]])</f>
        <v>2</v>
      </c>
      <c r="N102" t="s">
        <v>179</v>
      </c>
      <c r="O102" t="str">
        <f>IF(Table14[[#This Row],[Gender]]="","Unknown",N102)</f>
        <v>Other</v>
      </c>
      <c r="P102" t="s">
        <v>259</v>
      </c>
      <c r="Q102" t="str">
        <f>IF(Table14[[#This Row],[Email]]="invalid_email","Unknown",P102)</f>
        <v>user40@example.com</v>
      </c>
    </row>
    <row r="103" spans="1:17" x14ac:dyDescent="0.3">
      <c r="A103" t="s">
        <v>110</v>
      </c>
      <c r="B103" t="s">
        <v>165</v>
      </c>
      <c r="C103" t="str">
        <f>IF(Table14[[#This Row],[Name]]="","Unknown",Table14[[#This Row],[Name]])</f>
        <v>Bob Johnson</v>
      </c>
      <c r="D103" t="s">
        <v>169</v>
      </c>
      <c r="E103" t="str">
        <f>IF(Table14[[#This Row],[Department]]="","Unknown",Table14[[#This Row],[Department]])</f>
        <v>IT</v>
      </c>
      <c r="F103" t="s">
        <v>172</v>
      </c>
      <c r="G103" t="str">
        <f>IF(Table14[[#This Row],[Country]]="","Unknown",Table14[[#This Row],[Country]])</f>
        <v>Germany</v>
      </c>
      <c r="H103" s="3">
        <v>66503</v>
      </c>
      <c r="I103" s="3">
        <f>IF(Table14[[#This Row],[Salary]]="N/A",AVERAGEIF(Table14[Department2],Table14[[#This Row],[Department2]],Table14[Salary]),H103)</f>
        <v>66503</v>
      </c>
      <c r="J103" s="5">
        <v>42715</v>
      </c>
      <c r="K103" s="5">
        <f>IF(Table14[[#This Row],[Date of Joining]]="",MEDIAN(Table14[Date of Joining]),Table14[[#This Row],[Date of Joining]])</f>
        <v>42715</v>
      </c>
      <c r="L103" s="10"/>
      <c r="M103" s="10">
        <f>IF(Table14[[#This Row],[Performance Rating]]="",0,Table14[[#This Row],[Performance Rating]])</f>
        <v>0</v>
      </c>
      <c r="N103" t="s">
        <v>180</v>
      </c>
      <c r="O103" t="str">
        <f>IF(Table14[[#This Row],[Gender]]="","Unknown",N103)</f>
        <v>Male</v>
      </c>
      <c r="P103" t="s">
        <v>200</v>
      </c>
      <c r="Q103" t="str">
        <f>IF(Table14[[#This Row],[Email]]="invalid_email","Unknown",P103)</f>
        <v>user200@example.com</v>
      </c>
    </row>
    <row r="104" spans="1:17" x14ac:dyDescent="0.3">
      <c r="A104" t="s">
        <v>111</v>
      </c>
      <c r="B104" t="s">
        <v>160</v>
      </c>
      <c r="C104" t="str">
        <f>IF(Table14[[#This Row],[Name]]="","Unknown",Table14[[#This Row],[Name]])</f>
        <v>Alice Brown</v>
      </c>
      <c r="D104" t="s">
        <v>167</v>
      </c>
      <c r="E104" t="str">
        <f>IF(Table14[[#This Row],[Department]]="","Unknown",Table14[[#This Row],[Department]])</f>
        <v>HR</v>
      </c>
      <c r="F104" t="s">
        <v>172</v>
      </c>
      <c r="G104" t="str">
        <f>IF(Table14[[#This Row],[Country]]="","Unknown",Table14[[#This Row],[Country]])</f>
        <v>Germany</v>
      </c>
      <c r="H104" s="3">
        <v>42096</v>
      </c>
      <c r="I104" s="3">
        <f>IF(Table14[[#This Row],[Salary]]="N/A",AVERAGEIF(Table14[Department2],Table14[[#This Row],[Department2]],Table14[Salary]),H104)</f>
        <v>42096</v>
      </c>
      <c r="J104" s="5">
        <v>42722</v>
      </c>
      <c r="K104" s="5">
        <f>IF(Table14[[#This Row],[Date of Joining]]="",MEDIAN(Table14[Date of Joining]),Table14[[#This Row],[Date of Joining]])</f>
        <v>42722</v>
      </c>
      <c r="L104" s="10"/>
      <c r="M104" s="10">
        <f>IF(Table14[[#This Row],[Performance Rating]]="",0,Table14[[#This Row],[Performance Rating]])</f>
        <v>0</v>
      </c>
      <c r="N104" t="s">
        <v>181</v>
      </c>
      <c r="O104" t="str">
        <f>IF(Table14[[#This Row],[Gender]]="","Unknown",N104)</f>
        <v>Female</v>
      </c>
      <c r="P104" t="s">
        <v>260</v>
      </c>
      <c r="Q104" t="str">
        <f>IF(Table14[[#This Row],[Email]]="invalid_email","Unknown",P104)</f>
        <v>user54@example.com</v>
      </c>
    </row>
    <row r="105" spans="1:17" x14ac:dyDescent="0.3">
      <c r="A105" t="s">
        <v>112</v>
      </c>
      <c r="B105" t="s">
        <v>160</v>
      </c>
      <c r="C105" t="str">
        <f>IF(Table14[[#This Row],[Name]]="","Unknown",Table14[[#This Row],[Name]])</f>
        <v>Alice Brown</v>
      </c>
      <c r="D105" t="s">
        <v>170</v>
      </c>
      <c r="E105" t="str">
        <f>IF(Table14[[#This Row],[Department]]="","Unknown",Table14[[#This Row],[Department]])</f>
        <v>Marketing</v>
      </c>
      <c r="G105" t="str">
        <f>IF(Table14[[#This Row],[Country]]="","Unknown",Table14[[#This Row],[Country]])</f>
        <v>Unknown</v>
      </c>
      <c r="H105" s="3">
        <v>79145</v>
      </c>
      <c r="I105" s="3">
        <f>IF(Table14[[#This Row],[Salary]]="N/A",AVERAGEIF(Table14[Department2],Table14[[#This Row],[Department2]],Table14[Salary]),H105)</f>
        <v>79145</v>
      </c>
      <c r="J105" s="5">
        <v>42729</v>
      </c>
      <c r="K105" s="5">
        <f>IF(Table14[[#This Row],[Date of Joining]]="",MEDIAN(Table14[Date of Joining]),Table14[[#This Row],[Date of Joining]])</f>
        <v>42729</v>
      </c>
      <c r="L105" s="10">
        <v>5</v>
      </c>
      <c r="M105" s="10">
        <f>IF(Table14[[#This Row],[Performance Rating]]="",0,Table14[[#This Row],[Performance Rating]])</f>
        <v>5</v>
      </c>
      <c r="N105" t="s">
        <v>179</v>
      </c>
      <c r="O105" t="str">
        <f>IF(Table14[[#This Row],[Gender]]="","Unknown",N105)</f>
        <v>Other</v>
      </c>
      <c r="P105" t="s">
        <v>223</v>
      </c>
      <c r="Q105" t="str">
        <f>IF(Table14[[#This Row],[Email]]="invalid_email","Unknown",P105)</f>
        <v>user20@example.com</v>
      </c>
    </row>
    <row r="106" spans="1:17" x14ac:dyDescent="0.3">
      <c r="A106" t="s">
        <v>113</v>
      </c>
      <c r="B106" t="s">
        <v>162</v>
      </c>
      <c r="C106" t="str">
        <f>IF(Table14[[#This Row],[Name]]="","Unknown",Table14[[#This Row],[Name]])</f>
        <v>Jane Smith</v>
      </c>
      <c r="E106" t="str">
        <f>IF(Table14[[#This Row],[Department]]="","Unknown",Table14[[#This Row],[Department]])</f>
        <v>Unknown</v>
      </c>
      <c r="F106" t="s">
        <v>176</v>
      </c>
      <c r="G106" t="str">
        <f>IF(Table14[[#This Row],[Country]]="","Unknown",Table14[[#This Row],[Country]])</f>
        <v>Australia</v>
      </c>
      <c r="H106" s="3">
        <v>61556</v>
      </c>
      <c r="I106" s="3">
        <f>IF(Table14[[#This Row],[Salary]]="N/A",AVERAGEIF(Table14[Department2],Table14[[#This Row],[Department2]],Table14[Salary]),H106)</f>
        <v>61556</v>
      </c>
      <c r="J106" s="5">
        <v>42736</v>
      </c>
      <c r="K106" s="5">
        <f>IF(Table14[[#This Row],[Date of Joining]]="",MEDIAN(Table14[Date of Joining]),Table14[[#This Row],[Date of Joining]])</f>
        <v>42736</v>
      </c>
      <c r="L106" s="10">
        <v>1</v>
      </c>
      <c r="M106" s="10">
        <f>IF(Table14[[#This Row],[Performance Rating]]="",0,Table14[[#This Row],[Performance Rating]])</f>
        <v>1</v>
      </c>
      <c r="O106" t="str">
        <f>IF(Table14[[#This Row],[Gender]]="","Unknown",N106)</f>
        <v>Unknown</v>
      </c>
      <c r="P106" t="s">
        <v>259</v>
      </c>
      <c r="Q106" t="str">
        <f>IF(Table14[[#This Row],[Email]]="invalid_email","Unknown",P106)</f>
        <v>user40@example.com</v>
      </c>
    </row>
    <row r="107" spans="1:17" x14ac:dyDescent="0.3">
      <c r="A107" t="s">
        <v>114</v>
      </c>
      <c r="C107" t="str">
        <f>IF(Table14[[#This Row],[Name]]="","Unknown",Table14[[#This Row],[Name]])</f>
        <v>Unknown</v>
      </c>
      <c r="D107" t="s">
        <v>167</v>
      </c>
      <c r="E107" t="str">
        <f>IF(Table14[[#This Row],[Department]]="","Unknown",Table14[[#This Row],[Department]])</f>
        <v>HR</v>
      </c>
      <c r="F107" t="s">
        <v>175</v>
      </c>
      <c r="G107" t="str">
        <f>IF(Table14[[#This Row],[Country]]="","Unknown",Table14[[#This Row],[Country]])</f>
        <v>UK</v>
      </c>
      <c r="H107" s="3">
        <v>87963</v>
      </c>
      <c r="I107" s="3">
        <f>IF(Table14[[#This Row],[Salary]]="N/A",AVERAGEIF(Table14[Department2],Table14[[#This Row],[Department2]],Table14[Salary]),H107)</f>
        <v>87963</v>
      </c>
      <c r="J107" s="5">
        <v>42743</v>
      </c>
      <c r="K107" s="5">
        <f>IF(Table14[[#This Row],[Date of Joining]]="",MEDIAN(Table14[Date of Joining]),Table14[[#This Row],[Date of Joining]])</f>
        <v>42743</v>
      </c>
      <c r="L107" s="10">
        <v>3</v>
      </c>
      <c r="M107" s="10">
        <f>IF(Table14[[#This Row],[Performance Rating]]="",0,Table14[[#This Row],[Performance Rating]])</f>
        <v>3</v>
      </c>
      <c r="N107" t="s">
        <v>179</v>
      </c>
      <c r="O107" t="str">
        <f>IF(Table14[[#This Row],[Gender]]="","Unknown",N107)</f>
        <v>Other</v>
      </c>
      <c r="P107" t="s">
        <v>182</v>
      </c>
      <c r="Q107" t="str">
        <f>IF(Table14[[#This Row],[Email]]="invalid_email","Unknown",P107)</f>
        <v>Unknown</v>
      </c>
    </row>
    <row r="108" spans="1:17" x14ac:dyDescent="0.3">
      <c r="A108" t="s">
        <v>115</v>
      </c>
      <c r="B108" t="s">
        <v>159</v>
      </c>
      <c r="C108" t="str">
        <f>IF(Table14[[#This Row],[Name]]="","Unknown",Table14[[#This Row],[Name]])</f>
        <v>Eve Adams</v>
      </c>
      <c r="D108" t="s">
        <v>169</v>
      </c>
      <c r="E108" t="str">
        <f>IF(Table14[[#This Row],[Department]]="","Unknown",Table14[[#This Row],[Department]])</f>
        <v>IT</v>
      </c>
      <c r="G108" t="str">
        <f>IF(Table14[[#This Row],[Country]]="","Unknown",Table14[[#This Row],[Country]])</f>
        <v>Unknown</v>
      </c>
      <c r="H108" s="3">
        <v>48325</v>
      </c>
      <c r="I108" s="3">
        <f>IF(Table14[[#This Row],[Salary]]="N/A",AVERAGEIF(Table14[Department2],Table14[[#This Row],[Department2]],Table14[Salary]),H108)</f>
        <v>48325</v>
      </c>
      <c r="J108" s="5">
        <v>42750</v>
      </c>
      <c r="K108" s="5">
        <f>IF(Table14[[#This Row],[Date of Joining]]="",MEDIAN(Table14[Date of Joining]),Table14[[#This Row],[Date of Joining]])</f>
        <v>42750</v>
      </c>
      <c r="L108" s="10"/>
      <c r="M108" s="10">
        <f>IF(Table14[[#This Row],[Performance Rating]]="",0,Table14[[#This Row],[Performance Rating]])</f>
        <v>0</v>
      </c>
      <c r="N108" t="s">
        <v>180</v>
      </c>
      <c r="O108" t="str">
        <f>IF(Table14[[#This Row],[Gender]]="","Unknown",N108)</f>
        <v>Male</v>
      </c>
      <c r="P108" t="s">
        <v>261</v>
      </c>
      <c r="Q108" t="str">
        <f>IF(Table14[[#This Row],[Email]]="invalid_email","Unknown",P108)</f>
        <v>user189@example.com</v>
      </c>
    </row>
    <row r="109" spans="1:17" x14ac:dyDescent="0.3">
      <c r="A109" t="s">
        <v>116</v>
      </c>
      <c r="B109" t="s">
        <v>163</v>
      </c>
      <c r="C109" t="str">
        <f>IF(Table14[[#This Row],[Name]]="","Unknown",Table14[[#This Row],[Name]])</f>
        <v>Sam Wilson</v>
      </c>
      <c r="D109" t="s">
        <v>170</v>
      </c>
      <c r="E109" t="str">
        <f>IF(Table14[[#This Row],[Department]]="","Unknown",Table14[[#This Row],[Department]])</f>
        <v>Marketing</v>
      </c>
      <c r="F109" t="s">
        <v>176</v>
      </c>
      <c r="G109" t="str">
        <f>IF(Table14[[#This Row],[Country]]="","Unknown",Table14[[#This Row],[Country]])</f>
        <v>Australia</v>
      </c>
      <c r="H109" s="3">
        <v>86412</v>
      </c>
      <c r="I109" s="3">
        <f>IF(Table14[[#This Row],[Salary]]="N/A",AVERAGEIF(Table14[Department2],Table14[[#This Row],[Department2]],Table14[Salary]),H109)</f>
        <v>86412</v>
      </c>
      <c r="J109" s="5">
        <v>42757</v>
      </c>
      <c r="K109" s="5">
        <f>IF(Table14[[#This Row],[Date of Joining]]="",MEDIAN(Table14[Date of Joining]),Table14[[#This Row],[Date of Joining]])</f>
        <v>42757</v>
      </c>
      <c r="L109" s="10">
        <v>2</v>
      </c>
      <c r="M109" s="10">
        <f>IF(Table14[[#This Row],[Performance Rating]]="",0,Table14[[#This Row],[Performance Rating]])</f>
        <v>2</v>
      </c>
      <c r="N109" t="s">
        <v>181</v>
      </c>
      <c r="O109" t="str">
        <f>IF(Table14[[#This Row],[Gender]]="","Unknown",N109)</f>
        <v>Female</v>
      </c>
      <c r="P109" t="s">
        <v>202</v>
      </c>
      <c r="Q109" t="str">
        <f>IF(Table14[[#This Row],[Email]]="invalid_email","Unknown",P109)</f>
        <v>user128@example.com</v>
      </c>
    </row>
    <row r="110" spans="1:17" x14ac:dyDescent="0.3">
      <c r="A110" t="s">
        <v>117</v>
      </c>
      <c r="B110" t="s">
        <v>163</v>
      </c>
      <c r="C110" t="str">
        <f>IF(Table14[[#This Row],[Name]]="","Unknown",Table14[[#This Row],[Name]])</f>
        <v>Sam Wilson</v>
      </c>
      <c r="D110" t="s">
        <v>167</v>
      </c>
      <c r="E110" t="str">
        <f>IF(Table14[[#This Row],[Department]]="","Unknown",Table14[[#This Row],[Department]])</f>
        <v>HR</v>
      </c>
      <c r="G110" t="str">
        <f>IF(Table14[[#This Row],[Country]]="","Unknown",Table14[[#This Row],[Country]])</f>
        <v>Unknown</v>
      </c>
      <c r="H110" s="3">
        <v>66761</v>
      </c>
      <c r="I110" s="3">
        <f>IF(Table14[[#This Row],[Salary]]="N/A",AVERAGEIF(Table14[Department2],Table14[[#This Row],[Department2]],Table14[Salary]),H110)</f>
        <v>66761</v>
      </c>
      <c r="J110" s="5">
        <v>42764</v>
      </c>
      <c r="K110" s="5">
        <f>IF(Table14[[#This Row],[Date of Joining]]="",MEDIAN(Table14[Date of Joining]),Table14[[#This Row],[Date of Joining]])</f>
        <v>42764</v>
      </c>
      <c r="L110" s="10">
        <v>1</v>
      </c>
      <c r="M110" s="10">
        <f>IF(Table14[[#This Row],[Performance Rating]]="",0,Table14[[#This Row],[Performance Rating]])</f>
        <v>1</v>
      </c>
      <c r="O110" t="str">
        <f>IF(Table14[[#This Row],[Gender]]="","Unknown",N110)</f>
        <v>Unknown</v>
      </c>
      <c r="P110" t="s">
        <v>262</v>
      </c>
      <c r="Q110" t="str">
        <f>IF(Table14[[#This Row],[Email]]="invalid_email","Unknown",P110)</f>
        <v>user93@example.com</v>
      </c>
    </row>
    <row r="111" spans="1:17" x14ac:dyDescent="0.3">
      <c r="A111" t="s">
        <v>118</v>
      </c>
      <c r="B111" t="s">
        <v>162</v>
      </c>
      <c r="C111" t="str">
        <f>IF(Table14[[#This Row],[Name]]="","Unknown",Table14[[#This Row],[Name]])</f>
        <v>Jane Smith</v>
      </c>
      <c r="E111" t="str">
        <f>IF(Table14[[#This Row],[Department]]="","Unknown",Table14[[#This Row],[Department]])</f>
        <v>Unknown</v>
      </c>
      <c r="F111" t="s">
        <v>174</v>
      </c>
      <c r="G111" t="str">
        <f>IF(Table14[[#This Row],[Country]]="","Unknown",Table14[[#This Row],[Country]])</f>
        <v>India</v>
      </c>
      <c r="H111" s="3">
        <v>88850</v>
      </c>
      <c r="I111" s="3">
        <f>IF(Table14[[#This Row],[Salary]]="N/A",AVERAGEIF(Table14[Department2],Table14[[#This Row],[Department2]],Table14[Salary]),H111)</f>
        <v>88850</v>
      </c>
      <c r="J111" s="5">
        <v>42771</v>
      </c>
      <c r="K111" s="5">
        <f>IF(Table14[[#This Row],[Date of Joining]]="",MEDIAN(Table14[Date of Joining]),Table14[[#This Row],[Date of Joining]])</f>
        <v>42771</v>
      </c>
      <c r="L111" s="10">
        <v>1</v>
      </c>
      <c r="M111" s="10">
        <f>IF(Table14[[#This Row],[Performance Rating]]="",0,Table14[[#This Row],[Performance Rating]])</f>
        <v>1</v>
      </c>
      <c r="N111" t="s">
        <v>181</v>
      </c>
      <c r="O111" t="str">
        <f>IF(Table14[[#This Row],[Gender]]="","Unknown",N111)</f>
        <v>Female</v>
      </c>
      <c r="P111" t="s">
        <v>263</v>
      </c>
      <c r="Q111" t="str">
        <f>IF(Table14[[#This Row],[Email]]="invalid_email","Unknown",P111)</f>
        <v>user174@example.com</v>
      </c>
    </row>
    <row r="112" spans="1:17" x14ac:dyDescent="0.3">
      <c r="A112" t="s">
        <v>119</v>
      </c>
      <c r="B112" t="s">
        <v>164</v>
      </c>
      <c r="C112" t="str">
        <f>IF(Table14[[#This Row],[Name]]="","Unknown",Table14[[#This Row],[Name]])</f>
        <v>Chris Lee</v>
      </c>
      <c r="D112" t="s">
        <v>168</v>
      </c>
      <c r="E112" t="str">
        <f>IF(Table14[[#This Row],[Department]]="","Unknown",Table14[[#This Row],[Department]])</f>
        <v>Sales</v>
      </c>
      <c r="F112" t="s">
        <v>174</v>
      </c>
      <c r="G112" t="str">
        <f>IF(Table14[[#This Row],[Country]]="","Unknown",Table14[[#This Row],[Country]])</f>
        <v>India</v>
      </c>
      <c r="H112" s="3">
        <v>31293</v>
      </c>
      <c r="I112" s="3">
        <f>IF(Table14[[#This Row],[Salary]]="N/A",AVERAGEIF(Table14[Department2],Table14[[#This Row],[Department2]],Table14[Salary]),H112)</f>
        <v>31293</v>
      </c>
      <c r="K112" s="5">
        <f>IF(Table14[[#This Row],[Date of Joining]]="",MEDIAN(Table14[Date of Joining]),Table14[[#This Row],[Date of Joining]])</f>
        <v>42533</v>
      </c>
      <c r="L112" s="10">
        <v>2</v>
      </c>
      <c r="M112" s="10">
        <f>IF(Table14[[#This Row],[Performance Rating]]="",0,Table14[[#This Row],[Performance Rating]])</f>
        <v>2</v>
      </c>
      <c r="N112" t="s">
        <v>181</v>
      </c>
      <c r="O112" t="str">
        <f>IF(Table14[[#This Row],[Gender]]="","Unknown",N112)</f>
        <v>Female</v>
      </c>
      <c r="P112" t="s">
        <v>264</v>
      </c>
      <c r="Q112" t="str">
        <f>IF(Table14[[#This Row],[Email]]="invalid_email","Unknown",P112)</f>
        <v>user44@example.com</v>
      </c>
    </row>
    <row r="113" spans="1:17" x14ac:dyDescent="0.3">
      <c r="A113" t="s">
        <v>120</v>
      </c>
      <c r="B113" t="s">
        <v>164</v>
      </c>
      <c r="C113" t="str">
        <f>IF(Table14[[#This Row],[Name]]="","Unknown",Table14[[#This Row],[Name]])</f>
        <v>Chris Lee</v>
      </c>
      <c r="D113" t="s">
        <v>169</v>
      </c>
      <c r="E113" t="str">
        <f>IF(Table14[[#This Row],[Department]]="","Unknown",Table14[[#This Row],[Department]])</f>
        <v>IT</v>
      </c>
      <c r="F113" t="s">
        <v>173</v>
      </c>
      <c r="G113" t="str">
        <f>IF(Table14[[#This Row],[Country]]="","Unknown",Table14[[#This Row],[Country]])</f>
        <v>USA</v>
      </c>
      <c r="H113" s="3">
        <v>34306</v>
      </c>
      <c r="I113" s="3">
        <f>IF(Table14[[#This Row],[Salary]]="N/A",AVERAGEIF(Table14[Department2],Table14[[#This Row],[Department2]],Table14[Salary]),H113)</f>
        <v>34306</v>
      </c>
      <c r="J113" s="5">
        <v>42785</v>
      </c>
      <c r="K113" s="5">
        <f>IF(Table14[[#This Row],[Date of Joining]]="",MEDIAN(Table14[Date of Joining]),Table14[[#This Row],[Date of Joining]])</f>
        <v>42785</v>
      </c>
      <c r="L113" s="10">
        <v>5</v>
      </c>
      <c r="M113" s="10">
        <f>IF(Table14[[#This Row],[Performance Rating]]="",0,Table14[[#This Row],[Performance Rating]])</f>
        <v>5</v>
      </c>
      <c r="N113" t="s">
        <v>181</v>
      </c>
      <c r="O113" t="str">
        <f>IF(Table14[[#This Row],[Gender]]="","Unknown",N113)</f>
        <v>Female</v>
      </c>
      <c r="P113" t="s">
        <v>239</v>
      </c>
      <c r="Q113" t="str">
        <f>IF(Table14[[#This Row],[Email]]="invalid_email","Unknown",P113)</f>
        <v>user192@example.com</v>
      </c>
    </row>
    <row r="114" spans="1:17" x14ac:dyDescent="0.3">
      <c r="A114" t="s">
        <v>121</v>
      </c>
      <c r="B114" t="s">
        <v>159</v>
      </c>
      <c r="C114" t="str">
        <f>IF(Table14[[#This Row],[Name]]="","Unknown",Table14[[#This Row],[Name]])</f>
        <v>Eve Adams</v>
      </c>
      <c r="D114" t="s">
        <v>166</v>
      </c>
      <c r="E114" t="str">
        <f>IF(Table14[[#This Row],[Department]]="","Unknown",Table14[[#This Row],[Department]])</f>
        <v>Finance</v>
      </c>
      <c r="F114" t="s">
        <v>174</v>
      </c>
      <c r="G114" t="str">
        <f>IF(Table14[[#This Row],[Country]]="","Unknown",Table14[[#This Row],[Country]])</f>
        <v>India</v>
      </c>
      <c r="H114" s="3">
        <v>78330</v>
      </c>
      <c r="I114" s="3">
        <f>IF(Table14[[#This Row],[Salary]]="N/A",AVERAGEIF(Table14[Department2],Table14[[#This Row],[Department2]],Table14[Salary]),H114)</f>
        <v>78330</v>
      </c>
      <c r="J114" s="5">
        <v>42792</v>
      </c>
      <c r="K114" s="5">
        <f>IF(Table14[[#This Row],[Date of Joining]]="",MEDIAN(Table14[Date of Joining]),Table14[[#This Row],[Date of Joining]])</f>
        <v>42792</v>
      </c>
      <c r="L114" s="10"/>
      <c r="M114" s="10">
        <f>IF(Table14[[#This Row],[Performance Rating]]="",0,Table14[[#This Row],[Performance Rating]])</f>
        <v>0</v>
      </c>
      <c r="N114" t="s">
        <v>179</v>
      </c>
      <c r="O114" t="str">
        <f>IF(Table14[[#This Row],[Gender]]="","Unknown",N114)</f>
        <v>Other</v>
      </c>
      <c r="P114" t="s">
        <v>258</v>
      </c>
      <c r="Q114" t="str">
        <f>IF(Table14[[#This Row],[Email]]="invalid_email","Unknown",P114)</f>
        <v>user76@example.com</v>
      </c>
    </row>
    <row r="115" spans="1:17" x14ac:dyDescent="0.3">
      <c r="A115" t="s">
        <v>122</v>
      </c>
      <c r="B115" t="s">
        <v>160</v>
      </c>
      <c r="C115" t="str">
        <f>IF(Table14[[#This Row],[Name]]="","Unknown",Table14[[#This Row],[Name]])</f>
        <v>Alice Brown</v>
      </c>
      <c r="D115" t="s">
        <v>169</v>
      </c>
      <c r="E115" t="str">
        <f>IF(Table14[[#This Row],[Department]]="","Unknown",Table14[[#This Row],[Department]])</f>
        <v>IT</v>
      </c>
      <c r="F115" t="s">
        <v>173</v>
      </c>
      <c r="G115" t="str">
        <f>IF(Table14[[#This Row],[Country]]="","Unknown",Table14[[#This Row],[Country]])</f>
        <v>USA</v>
      </c>
      <c r="H115" s="3">
        <v>47653</v>
      </c>
      <c r="I115" s="3">
        <f>IF(Table14[[#This Row],[Salary]]="N/A",AVERAGEIF(Table14[Department2],Table14[[#This Row],[Department2]],Table14[Salary]),H115)</f>
        <v>47653</v>
      </c>
      <c r="J115" s="5">
        <v>42799</v>
      </c>
      <c r="K115" s="5">
        <f>IF(Table14[[#This Row],[Date of Joining]]="",MEDIAN(Table14[Date of Joining]),Table14[[#This Row],[Date of Joining]])</f>
        <v>42799</v>
      </c>
      <c r="L115" s="10">
        <v>1</v>
      </c>
      <c r="M115" s="10">
        <f>IF(Table14[[#This Row],[Performance Rating]]="",0,Table14[[#This Row],[Performance Rating]])</f>
        <v>1</v>
      </c>
      <c r="N115" t="s">
        <v>180</v>
      </c>
      <c r="O115" t="str">
        <f>IF(Table14[[#This Row],[Gender]]="","Unknown",N115)</f>
        <v>Male</v>
      </c>
      <c r="P115" t="s">
        <v>265</v>
      </c>
      <c r="Q115" t="str">
        <f>IF(Table14[[#This Row],[Email]]="invalid_email","Unknown",P115)</f>
        <v>user82@example.com</v>
      </c>
    </row>
    <row r="116" spans="1:17" x14ac:dyDescent="0.3">
      <c r="A116" t="s">
        <v>123</v>
      </c>
      <c r="B116" t="s">
        <v>159</v>
      </c>
      <c r="C116" t="str">
        <f>IF(Table14[[#This Row],[Name]]="","Unknown",Table14[[#This Row],[Name]])</f>
        <v>Eve Adams</v>
      </c>
      <c r="D116" t="s">
        <v>170</v>
      </c>
      <c r="E116" t="str">
        <f>IF(Table14[[#This Row],[Department]]="","Unknown",Table14[[#This Row],[Department]])</f>
        <v>Marketing</v>
      </c>
      <c r="F116" t="s">
        <v>175</v>
      </c>
      <c r="G116" t="str">
        <f>IF(Table14[[#This Row],[Country]]="","Unknown",Table14[[#This Row],[Country]])</f>
        <v>UK</v>
      </c>
      <c r="H116" s="3">
        <v>44627</v>
      </c>
      <c r="I116" s="3">
        <f>IF(Table14[[#This Row],[Salary]]="N/A",AVERAGEIF(Table14[Department2],Table14[[#This Row],[Department2]],Table14[Salary]),H116)</f>
        <v>44627</v>
      </c>
      <c r="J116" s="5">
        <v>42806</v>
      </c>
      <c r="K116" s="5">
        <f>IF(Table14[[#This Row],[Date of Joining]]="",MEDIAN(Table14[Date of Joining]),Table14[[#This Row],[Date of Joining]])</f>
        <v>42806</v>
      </c>
      <c r="L116" s="10">
        <v>4</v>
      </c>
      <c r="M116" s="10">
        <f>IF(Table14[[#This Row],[Performance Rating]]="",0,Table14[[#This Row],[Performance Rating]])</f>
        <v>4</v>
      </c>
      <c r="O116" t="str">
        <f>IF(Table14[[#This Row],[Gender]]="","Unknown",N116)</f>
        <v>Unknown</v>
      </c>
      <c r="P116" t="s">
        <v>235</v>
      </c>
      <c r="Q116" t="str">
        <f>IF(Table14[[#This Row],[Email]]="invalid_email","Unknown",P116)</f>
        <v>user97@example.com</v>
      </c>
    </row>
    <row r="117" spans="1:17" x14ac:dyDescent="0.3">
      <c r="A117" t="s">
        <v>124</v>
      </c>
      <c r="B117" t="s">
        <v>165</v>
      </c>
      <c r="C117" t="str">
        <f>IF(Table14[[#This Row],[Name]]="","Unknown",Table14[[#This Row],[Name]])</f>
        <v>Bob Johnson</v>
      </c>
      <c r="D117" t="s">
        <v>167</v>
      </c>
      <c r="E117" t="str">
        <f>IF(Table14[[#This Row],[Department]]="","Unknown",Table14[[#This Row],[Department]])</f>
        <v>HR</v>
      </c>
      <c r="F117" t="s">
        <v>172</v>
      </c>
      <c r="G117" t="str">
        <f>IF(Table14[[#This Row],[Country]]="","Unknown",Table14[[#This Row],[Country]])</f>
        <v>Germany</v>
      </c>
      <c r="H117" s="3">
        <v>92343</v>
      </c>
      <c r="I117" s="3">
        <f>IF(Table14[[#This Row],[Salary]]="N/A",AVERAGEIF(Table14[Department2],Table14[[#This Row],[Department2]],Table14[Salary]),H117)</f>
        <v>92343</v>
      </c>
      <c r="J117" s="5">
        <v>42813</v>
      </c>
      <c r="K117" s="5">
        <f>IF(Table14[[#This Row],[Date of Joining]]="",MEDIAN(Table14[Date of Joining]),Table14[[#This Row],[Date of Joining]])</f>
        <v>42813</v>
      </c>
      <c r="L117" s="10">
        <v>4</v>
      </c>
      <c r="M117" s="10">
        <f>IF(Table14[[#This Row],[Performance Rating]]="",0,Table14[[#This Row],[Performance Rating]])</f>
        <v>4</v>
      </c>
      <c r="N117" t="s">
        <v>181</v>
      </c>
      <c r="O117" t="str">
        <f>IF(Table14[[#This Row],[Gender]]="","Unknown",N117)</f>
        <v>Female</v>
      </c>
      <c r="P117" t="s">
        <v>203</v>
      </c>
      <c r="Q117" t="str">
        <f>IF(Table14[[#This Row],[Email]]="invalid_email","Unknown",P117)</f>
        <v>user149@example.com</v>
      </c>
    </row>
    <row r="118" spans="1:17" x14ac:dyDescent="0.3">
      <c r="A118" t="s">
        <v>125</v>
      </c>
      <c r="B118" t="s">
        <v>165</v>
      </c>
      <c r="C118" t="str">
        <f>IF(Table14[[#This Row],[Name]]="","Unknown",Table14[[#This Row],[Name]])</f>
        <v>Bob Johnson</v>
      </c>
      <c r="D118" t="s">
        <v>170</v>
      </c>
      <c r="E118" t="str">
        <f>IF(Table14[[#This Row],[Department]]="","Unknown",Table14[[#This Row],[Department]])</f>
        <v>Marketing</v>
      </c>
      <c r="F118" t="s">
        <v>176</v>
      </c>
      <c r="G118" t="str">
        <f>IF(Table14[[#This Row],[Country]]="","Unknown",Table14[[#This Row],[Country]])</f>
        <v>Australia</v>
      </c>
      <c r="H118" s="3">
        <v>38837</v>
      </c>
      <c r="I118" s="3">
        <f>IF(Table14[[#This Row],[Salary]]="N/A",AVERAGEIF(Table14[Department2],Table14[[#This Row],[Department2]],Table14[Salary]),H118)</f>
        <v>38837</v>
      </c>
      <c r="J118" s="5">
        <v>42820</v>
      </c>
      <c r="K118" s="5">
        <f>IF(Table14[[#This Row],[Date of Joining]]="",MEDIAN(Table14[Date of Joining]),Table14[[#This Row],[Date of Joining]])</f>
        <v>42820</v>
      </c>
      <c r="L118" s="10">
        <v>5</v>
      </c>
      <c r="M118" s="10">
        <f>IF(Table14[[#This Row],[Performance Rating]]="",0,Table14[[#This Row],[Performance Rating]])</f>
        <v>5</v>
      </c>
      <c r="N118" t="s">
        <v>181</v>
      </c>
      <c r="O118" t="str">
        <f>IF(Table14[[#This Row],[Gender]]="","Unknown",N118)</f>
        <v>Female</v>
      </c>
      <c r="P118" t="s">
        <v>239</v>
      </c>
      <c r="Q118" t="str">
        <f>IF(Table14[[#This Row],[Email]]="invalid_email","Unknown",P118)</f>
        <v>user192@example.com</v>
      </c>
    </row>
    <row r="119" spans="1:17" x14ac:dyDescent="0.3">
      <c r="A119" t="s">
        <v>126</v>
      </c>
      <c r="B119" t="s">
        <v>165</v>
      </c>
      <c r="C119" t="str">
        <f>IF(Table14[[#This Row],[Name]]="","Unknown",Table14[[#This Row],[Name]])</f>
        <v>Bob Johnson</v>
      </c>
      <c r="D119" t="s">
        <v>170</v>
      </c>
      <c r="E119" t="str">
        <f>IF(Table14[[#This Row],[Department]]="","Unknown",Table14[[#This Row],[Department]])</f>
        <v>Marketing</v>
      </c>
      <c r="G119" t="str">
        <f>IF(Table14[[#This Row],[Country]]="","Unknown",Table14[[#This Row],[Country]])</f>
        <v>Unknown</v>
      </c>
      <c r="H119" s="3">
        <v>73483</v>
      </c>
      <c r="I119" s="3">
        <f>IF(Table14[[#This Row],[Salary]]="N/A",AVERAGEIF(Table14[Department2],Table14[[#This Row],[Department2]],Table14[Salary]),H119)</f>
        <v>73483</v>
      </c>
      <c r="J119" s="5">
        <v>42827</v>
      </c>
      <c r="K119" s="5">
        <f>IF(Table14[[#This Row],[Date of Joining]]="",MEDIAN(Table14[Date of Joining]),Table14[[#This Row],[Date of Joining]])</f>
        <v>42827</v>
      </c>
      <c r="L119" s="10">
        <v>1</v>
      </c>
      <c r="M119" s="10">
        <f>IF(Table14[[#This Row],[Performance Rating]]="",0,Table14[[#This Row],[Performance Rating]])</f>
        <v>1</v>
      </c>
      <c r="O119" t="str">
        <f>IF(Table14[[#This Row],[Gender]]="","Unknown",N119)</f>
        <v>Unknown</v>
      </c>
      <c r="P119" t="s">
        <v>266</v>
      </c>
      <c r="Q119" t="str">
        <f>IF(Table14[[#This Row],[Email]]="invalid_email","Unknown",P119)</f>
        <v>user137@example.com</v>
      </c>
    </row>
    <row r="120" spans="1:17" x14ac:dyDescent="0.3">
      <c r="A120" t="s">
        <v>127</v>
      </c>
      <c r="B120" t="s">
        <v>164</v>
      </c>
      <c r="C120" t="str">
        <f>IF(Table14[[#This Row],[Name]]="","Unknown",Table14[[#This Row],[Name]])</f>
        <v>Chris Lee</v>
      </c>
      <c r="D120" t="s">
        <v>168</v>
      </c>
      <c r="E120" t="str">
        <f>IF(Table14[[#This Row],[Department]]="","Unknown",Table14[[#This Row],[Department]])</f>
        <v>Sales</v>
      </c>
      <c r="F120" t="s">
        <v>174</v>
      </c>
      <c r="G120" t="str">
        <f>IF(Table14[[#This Row],[Country]]="","Unknown",Table14[[#This Row],[Country]])</f>
        <v>India</v>
      </c>
      <c r="H120" s="3">
        <v>95032</v>
      </c>
      <c r="I120" s="3">
        <f>IF(Table14[[#This Row],[Salary]]="N/A",AVERAGEIF(Table14[Department2],Table14[[#This Row],[Department2]],Table14[Salary]),H120)</f>
        <v>95032</v>
      </c>
      <c r="J120" s="5">
        <v>42834</v>
      </c>
      <c r="K120" s="5">
        <f>IF(Table14[[#This Row],[Date of Joining]]="",MEDIAN(Table14[Date of Joining]),Table14[[#This Row],[Date of Joining]])</f>
        <v>42834</v>
      </c>
      <c r="L120" s="10">
        <v>3</v>
      </c>
      <c r="M120" s="10">
        <f>IF(Table14[[#This Row],[Performance Rating]]="",0,Table14[[#This Row],[Performance Rating]])</f>
        <v>3</v>
      </c>
      <c r="O120" t="str">
        <f>IF(Table14[[#This Row],[Gender]]="","Unknown",N120)</f>
        <v>Unknown</v>
      </c>
      <c r="P120" t="s">
        <v>267</v>
      </c>
      <c r="Q120" t="str">
        <f>IF(Table14[[#This Row],[Email]]="invalid_email","Unknown",P120)</f>
        <v>user23@example.com</v>
      </c>
    </row>
    <row r="121" spans="1:17" x14ac:dyDescent="0.3">
      <c r="A121" t="s">
        <v>128</v>
      </c>
      <c r="B121" t="s">
        <v>159</v>
      </c>
      <c r="C121" t="str">
        <f>IF(Table14[[#This Row],[Name]]="","Unknown",Table14[[#This Row],[Name]])</f>
        <v>Eve Adams</v>
      </c>
      <c r="D121" t="s">
        <v>168</v>
      </c>
      <c r="E121" t="str">
        <f>IF(Table14[[#This Row],[Department]]="","Unknown",Table14[[#This Row],[Department]])</f>
        <v>Sales</v>
      </c>
      <c r="F121" t="s">
        <v>176</v>
      </c>
      <c r="G121" t="str">
        <f>IF(Table14[[#This Row],[Country]]="","Unknown",Table14[[#This Row],[Country]])</f>
        <v>Australia</v>
      </c>
      <c r="H121" s="3">
        <v>44358</v>
      </c>
      <c r="I121" s="3">
        <f>IF(Table14[[#This Row],[Salary]]="N/A",AVERAGEIF(Table14[Department2],Table14[[#This Row],[Department2]],Table14[Salary]),H121)</f>
        <v>44358</v>
      </c>
      <c r="J121" s="5">
        <v>42841</v>
      </c>
      <c r="K121" s="5">
        <f>IF(Table14[[#This Row],[Date of Joining]]="",MEDIAN(Table14[Date of Joining]),Table14[[#This Row],[Date of Joining]])</f>
        <v>42841</v>
      </c>
      <c r="L121" s="10"/>
      <c r="M121" s="10">
        <f>IF(Table14[[#This Row],[Performance Rating]]="",0,Table14[[#This Row],[Performance Rating]])</f>
        <v>0</v>
      </c>
      <c r="N121" t="s">
        <v>181</v>
      </c>
      <c r="O121" t="str">
        <f>IF(Table14[[#This Row],[Gender]]="","Unknown",N121)</f>
        <v>Female</v>
      </c>
      <c r="P121" t="s">
        <v>200</v>
      </c>
      <c r="Q121" t="str">
        <f>IF(Table14[[#This Row],[Email]]="invalid_email","Unknown",P121)</f>
        <v>user200@example.com</v>
      </c>
    </row>
    <row r="122" spans="1:17" x14ac:dyDescent="0.3">
      <c r="A122" t="s">
        <v>129</v>
      </c>
      <c r="C122" t="str">
        <f>IF(Table14[[#This Row],[Name]]="","Unknown",Table14[[#This Row],[Name]])</f>
        <v>Unknown</v>
      </c>
      <c r="D122" t="s">
        <v>169</v>
      </c>
      <c r="E122" t="str">
        <f>IF(Table14[[#This Row],[Department]]="","Unknown",Table14[[#This Row],[Department]])</f>
        <v>IT</v>
      </c>
      <c r="F122" t="s">
        <v>173</v>
      </c>
      <c r="G122" t="str">
        <f>IF(Table14[[#This Row],[Country]]="","Unknown",Table14[[#This Row],[Country]])</f>
        <v>USA</v>
      </c>
      <c r="H122" s="3" t="s">
        <v>177</v>
      </c>
      <c r="I122" s="3">
        <f>IF(Table14[[#This Row],[Salary]]="N/A",AVERAGEIF(Table14[Department2],Table14[[#This Row],[Department2]],Table14[Salary]),H122)</f>
        <v>66157.5</v>
      </c>
      <c r="K122" s="5">
        <f>IF(Table14[[#This Row],[Date of Joining]]="",MEDIAN(Table14[Date of Joining]),Table14[[#This Row],[Date of Joining]])</f>
        <v>42533</v>
      </c>
      <c r="L122" s="10">
        <v>5</v>
      </c>
      <c r="M122" s="10">
        <f>IF(Table14[[#This Row],[Performance Rating]]="",0,Table14[[#This Row],[Performance Rating]])</f>
        <v>5</v>
      </c>
      <c r="N122" t="s">
        <v>178</v>
      </c>
      <c r="O122" t="str">
        <f>IF(Table14[[#This Row],[Gender]]="","Unknown",N122)</f>
        <v>Unknown</v>
      </c>
      <c r="P122" t="s">
        <v>268</v>
      </c>
      <c r="Q122" t="str">
        <f>IF(Table14[[#This Row],[Email]]="invalid_email","Unknown",P122)</f>
        <v>user101@example.com</v>
      </c>
    </row>
    <row r="123" spans="1:17" x14ac:dyDescent="0.3">
      <c r="A123" t="s">
        <v>130</v>
      </c>
      <c r="B123" t="s">
        <v>164</v>
      </c>
      <c r="C123" t="str">
        <f>IF(Table14[[#This Row],[Name]]="","Unknown",Table14[[#This Row],[Name]])</f>
        <v>Chris Lee</v>
      </c>
      <c r="D123" t="s">
        <v>168</v>
      </c>
      <c r="E123" t="str">
        <f>IF(Table14[[#This Row],[Department]]="","Unknown",Table14[[#This Row],[Department]])</f>
        <v>Sales</v>
      </c>
      <c r="F123" t="s">
        <v>173</v>
      </c>
      <c r="G123" t="str">
        <f>IF(Table14[[#This Row],[Country]]="","Unknown",Table14[[#This Row],[Country]])</f>
        <v>USA</v>
      </c>
      <c r="H123" s="3">
        <v>45676</v>
      </c>
      <c r="I123" s="3">
        <f>IF(Table14[[#This Row],[Salary]]="N/A",AVERAGEIF(Table14[Department2],Table14[[#This Row],[Department2]],Table14[Salary]),H123)</f>
        <v>45676</v>
      </c>
      <c r="J123" s="5">
        <v>42855</v>
      </c>
      <c r="K123" s="5">
        <f>IF(Table14[[#This Row],[Date of Joining]]="",MEDIAN(Table14[Date of Joining]),Table14[[#This Row],[Date of Joining]])</f>
        <v>42855</v>
      </c>
      <c r="L123" s="10">
        <v>2</v>
      </c>
      <c r="M123" s="10">
        <f>IF(Table14[[#This Row],[Performance Rating]]="",0,Table14[[#This Row],[Performance Rating]])</f>
        <v>2</v>
      </c>
      <c r="O123" t="str">
        <f>IF(Table14[[#This Row],[Gender]]="","Unknown",N123)</f>
        <v>Unknown</v>
      </c>
      <c r="P123" t="s">
        <v>269</v>
      </c>
      <c r="Q123" t="str">
        <f>IF(Table14[[#This Row],[Email]]="invalid_email","Unknown",P123)</f>
        <v>user132@example.com</v>
      </c>
    </row>
    <row r="124" spans="1:17" x14ac:dyDescent="0.3">
      <c r="A124" t="s">
        <v>131</v>
      </c>
      <c r="B124" t="s">
        <v>165</v>
      </c>
      <c r="C124" t="str">
        <f>IF(Table14[[#This Row],[Name]]="","Unknown",Table14[[#This Row],[Name]])</f>
        <v>Bob Johnson</v>
      </c>
      <c r="D124" t="s">
        <v>168</v>
      </c>
      <c r="E124" t="str">
        <f>IF(Table14[[#This Row],[Department]]="","Unknown",Table14[[#This Row],[Department]])</f>
        <v>Sales</v>
      </c>
      <c r="F124" t="s">
        <v>172</v>
      </c>
      <c r="G124" t="str">
        <f>IF(Table14[[#This Row],[Country]]="","Unknown",Table14[[#This Row],[Country]])</f>
        <v>Germany</v>
      </c>
      <c r="H124" s="3">
        <v>52036</v>
      </c>
      <c r="I124" s="3">
        <f>IF(Table14[[#This Row],[Salary]]="N/A",AVERAGEIF(Table14[Department2],Table14[[#This Row],[Department2]],Table14[Salary]),H124)</f>
        <v>52036</v>
      </c>
      <c r="J124" s="5">
        <v>42862</v>
      </c>
      <c r="K124" s="5">
        <f>IF(Table14[[#This Row],[Date of Joining]]="",MEDIAN(Table14[Date of Joining]),Table14[[#This Row],[Date of Joining]])</f>
        <v>42862</v>
      </c>
      <c r="L124" s="10">
        <v>3</v>
      </c>
      <c r="M124" s="10">
        <f>IF(Table14[[#This Row],[Performance Rating]]="",0,Table14[[#This Row],[Performance Rating]])</f>
        <v>3</v>
      </c>
      <c r="N124" t="s">
        <v>180</v>
      </c>
      <c r="O124" t="str">
        <f>IF(Table14[[#This Row],[Gender]]="","Unknown",N124)</f>
        <v>Male</v>
      </c>
      <c r="P124" t="s">
        <v>270</v>
      </c>
      <c r="Q124" t="str">
        <f>IF(Table14[[#This Row],[Email]]="invalid_email","Unknown",P124)</f>
        <v>user171@example.com</v>
      </c>
    </row>
    <row r="125" spans="1:17" x14ac:dyDescent="0.3">
      <c r="A125" t="s">
        <v>132</v>
      </c>
      <c r="B125" t="s">
        <v>162</v>
      </c>
      <c r="C125" t="str">
        <f>IF(Table14[[#This Row],[Name]]="","Unknown",Table14[[#This Row],[Name]])</f>
        <v>Jane Smith</v>
      </c>
      <c r="E125" t="str">
        <f>IF(Table14[[#This Row],[Department]]="","Unknown",Table14[[#This Row],[Department]])</f>
        <v>Unknown</v>
      </c>
      <c r="F125" t="s">
        <v>172</v>
      </c>
      <c r="G125" t="str">
        <f>IF(Table14[[#This Row],[Country]]="","Unknown",Table14[[#This Row],[Country]])</f>
        <v>Germany</v>
      </c>
      <c r="H125" s="3">
        <v>30357</v>
      </c>
      <c r="I125" s="3">
        <f>IF(Table14[[#This Row],[Salary]]="N/A",AVERAGEIF(Table14[Department2],Table14[[#This Row],[Department2]],Table14[Salary]),H125)</f>
        <v>30357</v>
      </c>
      <c r="J125" s="5">
        <v>42869</v>
      </c>
      <c r="K125" s="5">
        <f>IF(Table14[[#This Row],[Date of Joining]]="",MEDIAN(Table14[Date of Joining]),Table14[[#This Row],[Date of Joining]])</f>
        <v>42869</v>
      </c>
      <c r="L125" s="10">
        <v>5</v>
      </c>
      <c r="M125" s="10">
        <f>IF(Table14[[#This Row],[Performance Rating]]="",0,Table14[[#This Row],[Performance Rating]])</f>
        <v>5</v>
      </c>
      <c r="N125" t="s">
        <v>180</v>
      </c>
      <c r="O125" t="str">
        <f>IF(Table14[[#This Row],[Gender]]="","Unknown",N125)</f>
        <v>Male</v>
      </c>
      <c r="P125" t="s">
        <v>248</v>
      </c>
      <c r="Q125" t="str">
        <f>IF(Table14[[#This Row],[Email]]="invalid_email","Unknown",P125)</f>
        <v>user145@example.com</v>
      </c>
    </row>
    <row r="126" spans="1:17" x14ac:dyDescent="0.3">
      <c r="A126" t="s">
        <v>133</v>
      </c>
      <c r="B126" t="s">
        <v>161</v>
      </c>
      <c r="C126" t="str">
        <f>IF(Table14[[#This Row],[Name]]="","Unknown",Table14[[#This Row],[Name]])</f>
        <v>John Doe</v>
      </c>
      <c r="D126" t="s">
        <v>169</v>
      </c>
      <c r="E126" t="str">
        <f>IF(Table14[[#This Row],[Department]]="","Unknown",Table14[[#This Row],[Department]])</f>
        <v>IT</v>
      </c>
      <c r="G126" t="str">
        <f>IF(Table14[[#This Row],[Country]]="","Unknown",Table14[[#This Row],[Country]])</f>
        <v>Unknown</v>
      </c>
      <c r="H126" s="3">
        <v>60034</v>
      </c>
      <c r="I126" s="3">
        <f>IF(Table14[[#This Row],[Salary]]="N/A",AVERAGEIF(Table14[Department2],Table14[[#This Row],[Department2]],Table14[Salary]),H126)</f>
        <v>60034</v>
      </c>
      <c r="J126" s="5">
        <v>42876</v>
      </c>
      <c r="K126" s="5">
        <f>IF(Table14[[#This Row],[Date of Joining]]="",MEDIAN(Table14[Date of Joining]),Table14[[#This Row],[Date of Joining]])</f>
        <v>42876</v>
      </c>
      <c r="L126" s="10">
        <v>1</v>
      </c>
      <c r="M126" s="10">
        <f>IF(Table14[[#This Row],[Performance Rating]]="",0,Table14[[#This Row],[Performance Rating]])</f>
        <v>1</v>
      </c>
      <c r="N126" t="s">
        <v>181</v>
      </c>
      <c r="O126" t="str">
        <f>IF(Table14[[#This Row],[Gender]]="","Unknown",N126)</f>
        <v>Female</v>
      </c>
      <c r="P126" t="s">
        <v>271</v>
      </c>
      <c r="Q126" t="str">
        <f>IF(Table14[[#This Row],[Email]]="invalid_email","Unknown",P126)</f>
        <v>user75@example.com</v>
      </c>
    </row>
    <row r="127" spans="1:17" x14ac:dyDescent="0.3">
      <c r="A127" t="s">
        <v>134</v>
      </c>
      <c r="B127" t="s">
        <v>161</v>
      </c>
      <c r="C127" t="str">
        <f>IF(Table14[[#This Row],[Name]]="","Unknown",Table14[[#This Row],[Name]])</f>
        <v>John Doe</v>
      </c>
      <c r="D127" t="s">
        <v>166</v>
      </c>
      <c r="E127" t="str">
        <f>IF(Table14[[#This Row],[Department]]="","Unknown",Table14[[#This Row],[Department]])</f>
        <v>Finance</v>
      </c>
      <c r="G127" t="str">
        <f>IF(Table14[[#This Row],[Country]]="","Unknown",Table14[[#This Row],[Country]])</f>
        <v>Unknown</v>
      </c>
      <c r="H127" s="3">
        <v>90019</v>
      </c>
      <c r="I127" s="3">
        <f>IF(Table14[[#This Row],[Salary]]="N/A",AVERAGEIF(Table14[Department2],Table14[[#This Row],[Department2]],Table14[Salary]),H127)</f>
        <v>90019</v>
      </c>
      <c r="J127" s="5">
        <v>42883</v>
      </c>
      <c r="K127" s="5">
        <f>IF(Table14[[#This Row],[Date of Joining]]="",MEDIAN(Table14[Date of Joining]),Table14[[#This Row],[Date of Joining]])</f>
        <v>42883</v>
      </c>
      <c r="L127" s="10">
        <v>5</v>
      </c>
      <c r="M127" s="10">
        <f>IF(Table14[[#This Row],[Performance Rating]]="",0,Table14[[#This Row],[Performance Rating]])</f>
        <v>5</v>
      </c>
      <c r="O127" t="str">
        <f>IF(Table14[[#This Row],[Gender]]="","Unknown",N127)</f>
        <v>Unknown</v>
      </c>
      <c r="P127" t="s">
        <v>272</v>
      </c>
      <c r="Q127" t="str">
        <f>IF(Table14[[#This Row],[Email]]="invalid_email","Unknown",P127)</f>
        <v>user52@example.com</v>
      </c>
    </row>
    <row r="128" spans="1:17" x14ac:dyDescent="0.3">
      <c r="A128" t="s">
        <v>135</v>
      </c>
      <c r="B128" t="s">
        <v>165</v>
      </c>
      <c r="C128" t="str">
        <f>IF(Table14[[#This Row],[Name]]="","Unknown",Table14[[#This Row],[Name]])</f>
        <v>Bob Johnson</v>
      </c>
      <c r="E128" t="str">
        <f>IF(Table14[[#This Row],[Department]]="","Unknown",Table14[[#This Row],[Department]])</f>
        <v>Unknown</v>
      </c>
      <c r="F128" t="s">
        <v>172</v>
      </c>
      <c r="G128" t="str">
        <f>IF(Table14[[#This Row],[Country]]="","Unknown",Table14[[#This Row],[Country]])</f>
        <v>Germany</v>
      </c>
      <c r="H128" s="3">
        <v>71494</v>
      </c>
      <c r="I128" s="3">
        <f>IF(Table14[[#This Row],[Salary]]="N/A",AVERAGEIF(Table14[Department2],Table14[[#This Row],[Department2]],Table14[Salary]),H128)</f>
        <v>71494</v>
      </c>
      <c r="J128" s="5">
        <v>42890</v>
      </c>
      <c r="K128" s="5">
        <f>IF(Table14[[#This Row],[Date of Joining]]="",MEDIAN(Table14[Date of Joining]),Table14[[#This Row],[Date of Joining]])</f>
        <v>42890</v>
      </c>
      <c r="L128" s="10">
        <v>3</v>
      </c>
      <c r="M128" s="10">
        <f>IF(Table14[[#This Row],[Performance Rating]]="",0,Table14[[#This Row],[Performance Rating]])</f>
        <v>3</v>
      </c>
      <c r="N128" t="s">
        <v>180</v>
      </c>
      <c r="O128" t="str">
        <f>IF(Table14[[#This Row],[Gender]]="","Unknown",N128)</f>
        <v>Male</v>
      </c>
      <c r="P128" t="s">
        <v>273</v>
      </c>
      <c r="Q128" t="str">
        <f>IF(Table14[[#This Row],[Email]]="invalid_email","Unknown",P128)</f>
        <v>user100@example.com</v>
      </c>
    </row>
    <row r="129" spans="1:17" x14ac:dyDescent="0.3">
      <c r="A129" t="s">
        <v>136</v>
      </c>
      <c r="B129" t="s">
        <v>161</v>
      </c>
      <c r="C129" t="str">
        <f>IF(Table14[[#This Row],[Name]]="","Unknown",Table14[[#This Row],[Name]])</f>
        <v>John Doe</v>
      </c>
      <c r="D129" t="s">
        <v>166</v>
      </c>
      <c r="E129" t="str">
        <f>IF(Table14[[#This Row],[Department]]="","Unknown",Table14[[#This Row],[Department]])</f>
        <v>Finance</v>
      </c>
      <c r="F129" t="s">
        <v>173</v>
      </c>
      <c r="G129" t="str">
        <f>IF(Table14[[#This Row],[Country]]="","Unknown",Table14[[#This Row],[Country]])</f>
        <v>USA</v>
      </c>
      <c r="H129" s="3">
        <v>91953</v>
      </c>
      <c r="I129" s="3">
        <f>IF(Table14[[#This Row],[Salary]]="N/A",AVERAGEIF(Table14[Department2],Table14[[#This Row],[Department2]],Table14[Salary]),H129)</f>
        <v>91953</v>
      </c>
      <c r="J129" s="5">
        <v>42897</v>
      </c>
      <c r="K129" s="5">
        <f>IF(Table14[[#This Row],[Date of Joining]]="",MEDIAN(Table14[Date of Joining]),Table14[[#This Row],[Date of Joining]])</f>
        <v>42897</v>
      </c>
      <c r="L129" s="10">
        <v>2</v>
      </c>
      <c r="M129" s="10">
        <f>IF(Table14[[#This Row],[Performance Rating]]="",0,Table14[[#This Row],[Performance Rating]])</f>
        <v>2</v>
      </c>
      <c r="N129" t="s">
        <v>180</v>
      </c>
      <c r="O129" t="str">
        <f>IF(Table14[[#This Row],[Gender]]="","Unknown",N129)</f>
        <v>Male</v>
      </c>
      <c r="P129" t="s">
        <v>209</v>
      </c>
      <c r="Q129" t="str">
        <f>IF(Table14[[#This Row],[Email]]="invalid_email","Unknown",P129)</f>
        <v>user83@example.com</v>
      </c>
    </row>
    <row r="130" spans="1:17" x14ac:dyDescent="0.3">
      <c r="A130" t="s">
        <v>137</v>
      </c>
      <c r="B130" t="s">
        <v>164</v>
      </c>
      <c r="C130" t="str">
        <f>IF(Table14[[#This Row],[Name]]="","Unknown",Table14[[#This Row],[Name]])</f>
        <v>Chris Lee</v>
      </c>
      <c r="D130" t="s">
        <v>168</v>
      </c>
      <c r="E130" t="str">
        <f>IF(Table14[[#This Row],[Department]]="","Unknown",Table14[[#This Row],[Department]])</f>
        <v>Sales</v>
      </c>
      <c r="F130" t="s">
        <v>173</v>
      </c>
      <c r="G130" t="str">
        <f>IF(Table14[[#This Row],[Country]]="","Unknown",Table14[[#This Row],[Country]])</f>
        <v>USA</v>
      </c>
      <c r="H130" s="3">
        <v>30402</v>
      </c>
      <c r="I130" s="3">
        <f>IF(Table14[[#This Row],[Salary]]="N/A",AVERAGEIF(Table14[Department2],Table14[[#This Row],[Department2]],Table14[Salary]),H130)</f>
        <v>30402</v>
      </c>
      <c r="J130" s="5">
        <v>42904</v>
      </c>
      <c r="K130" s="5">
        <f>IF(Table14[[#This Row],[Date of Joining]]="",MEDIAN(Table14[Date of Joining]),Table14[[#This Row],[Date of Joining]])</f>
        <v>42904</v>
      </c>
      <c r="L130" s="10">
        <v>1</v>
      </c>
      <c r="M130" s="10">
        <f>IF(Table14[[#This Row],[Performance Rating]]="",0,Table14[[#This Row],[Performance Rating]])</f>
        <v>1</v>
      </c>
      <c r="O130" t="str">
        <f>IF(Table14[[#This Row],[Gender]]="","Unknown",N130)</f>
        <v>Unknown</v>
      </c>
      <c r="P130" t="s">
        <v>274</v>
      </c>
      <c r="Q130" t="str">
        <f>IF(Table14[[#This Row],[Email]]="invalid_email","Unknown",P130)</f>
        <v>user167@example.com</v>
      </c>
    </row>
    <row r="131" spans="1:17" x14ac:dyDescent="0.3">
      <c r="A131" t="s">
        <v>138</v>
      </c>
      <c r="B131" t="s">
        <v>165</v>
      </c>
      <c r="C131" t="str">
        <f>IF(Table14[[#This Row],[Name]]="","Unknown",Table14[[#This Row],[Name]])</f>
        <v>Bob Johnson</v>
      </c>
      <c r="E131" t="str">
        <f>IF(Table14[[#This Row],[Department]]="","Unknown",Table14[[#This Row],[Department]])</f>
        <v>Unknown</v>
      </c>
      <c r="F131" t="s">
        <v>175</v>
      </c>
      <c r="G131" t="str">
        <f>IF(Table14[[#This Row],[Country]]="","Unknown",Table14[[#This Row],[Country]])</f>
        <v>UK</v>
      </c>
      <c r="H131" s="3">
        <v>62994</v>
      </c>
      <c r="I131" s="3">
        <f>IF(Table14[[#This Row],[Salary]]="N/A",AVERAGEIF(Table14[Department2],Table14[[#This Row],[Department2]],Table14[Salary]),H131)</f>
        <v>62994</v>
      </c>
      <c r="J131" s="5">
        <v>42911</v>
      </c>
      <c r="K131" s="5">
        <f>IF(Table14[[#This Row],[Date of Joining]]="",MEDIAN(Table14[Date of Joining]),Table14[[#This Row],[Date of Joining]])</f>
        <v>42911</v>
      </c>
      <c r="L131" s="10"/>
      <c r="M131" s="10">
        <f>IF(Table14[[#This Row],[Performance Rating]]="",0,Table14[[#This Row],[Performance Rating]])</f>
        <v>0</v>
      </c>
      <c r="O131" t="str">
        <f>IF(Table14[[#This Row],[Gender]]="","Unknown",N131)</f>
        <v>Unknown</v>
      </c>
      <c r="P131" t="s">
        <v>221</v>
      </c>
      <c r="Q131" t="str">
        <f>IF(Table14[[#This Row],[Email]]="invalid_email","Unknown",P131)</f>
        <v>user175@example.com</v>
      </c>
    </row>
    <row r="132" spans="1:17" x14ac:dyDescent="0.3">
      <c r="A132" t="s">
        <v>139</v>
      </c>
      <c r="B132" t="s">
        <v>160</v>
      </c>
      <c r="C132" t="str">
        <f>IF(Table14[[#This Row],[Name]]="","Unknown",Table14[[#This Row],[Name]])</f>
        <v>Alice Brown</v>
      </c>
      <c r="D132" t="s">
        <v>168</v>
      </c>
      <c r="E132" t="str">
        <f>IF(Table14[[#This Row],[Department]]="","Unknown",Table14[[#This Row],[Department]])</f>
        <v>Sales</v>
      </c>
      <c r="F132" t="s">
        <v>174</v>
      </c>
      <c r="G132" t="str">
        <f>IF(Table14[[#This Row],[Country]]="","Unknown",Table14[[#This Row],[Country]])</f>
        <v>India</v>
      </c>
      <c r="H132" s="3">
        <v>48289</v>
      </c>
      <c r="I132" s="3">
        <f>IF(Table14[[#This Row],[Salary]]="N/A",AVERAGEIF(Table14[Department2],Table14[[#This Row],[Department2]],Table14[Salary]),H132)</f>
        <v>48289</v>
      </c>
      <c r="K132" s="5">
        <f>IF(Table14[[#This Row],[Date of Joining]]="",MEDIAN(Table14[Date of Joining]),Table14[[#This Row],[Date of Joining]])</f>
        <v>42533</v>
      </c>
      <c r="L132" s="10">
        <v>3</v>
      </c>
      <c r="M132" s="10">
        <f>IF(Table14[[#This Row],[Performance Rating]]="",0,Table14[[#This Row],[Performance Rating]])</f>
        <v>3</v>
      </c>
      <c r="N132" t="s">
        <v>180</v>
      </c>
      <c r="O132" t="str">
        <f>IF(Table14[[#This Row],[Gender]]="","Unknown",N132)</f>
        <v>Male</v>
      </c>
      <c r="P132" t="s">
        <v>189</v>
      </c>
      <c r="Q132" t="str">
        <f>IF(Table14[[#This Row],[Email]]="invalid_email","Unknown",P132)</f>
        <v>user25@example.com</v>
      </c>
    </row>
    <row r="133" spans="1:17" x14ac:dyDescent="0.3">
      <c r="A133" t="s">
        <v>140</v>
      </c>
      <c r="B133" t="s">
        <v>163</v>
      </c>
      <c r="C133" t="str">
        <f>IF(Table14[[#This Row],[Name]]="","Unknown",Table14[[#This Row],[Name]])</f>
        <v>Sam Wilson</v>
      </c>
      <c r="D133" t="s">
        <v>170</v>
      </c>
      <c r="E133" t="str">
        <f>IF(Table14[[#This Row],[Department]]="","Unknown",Table14[[#This Row],[Department]])</f>
        <v>Marketing</v>
      </c>
      <c r="F133" t="s">
        <v>172</v>
      </c>
      <c r="G133" t="str">
        <f>IF(Table14[[#This Row],[Country]]="","Unknown",Table14[[#This Row],[Country]])</f>
        <v>Germany</v>
      </c>
      <c r="H133" s="3">
        <v>34402</v>
      </c>
      <c r="I133" s="3">
        <f>IF(Table14[[#This Row],[Salary]]="N/A",AVERAGEIF(Table14[Department2],Table14[[#This Row],[Department2]],Table14[Salary]),H133)</f>
        <v>34402</v>
      </c>
      <c r="J133" s="5">
        <v>42925</v>
      </c>
      <c r="K133" s="5">
        <f>IF(Table14[[#This Row],[Date of Joining]]="",MEDIAN(Table14[Date of Joining]),Table14[[#This Row],[Date of Joining]])</f>
        <v>42925</v>
      </c>
      <c r="L133" s="10">
        <v>3</v>
      </c>
      <c r="M133" s="10">
        <f>IF(Table14[[#This Row],[Performance Rating]]="",0,Table14[[#This Row],[Performance Rating]])</f>
        <v>3</v>
      </c>
      <c r="N133" t="s">
        <v>179</v>
      </c>
      <c r="O133" t="str">
        <f>IF(Table14[[#This Row],[Gender]]="","Unknown",N133)</f>
        <v>Other</v>
      </c>
      <c r="P133" t="s">
        <v>218</v>
      </c>
      <c r="Q133" t="str">
        <f>IF(Table14[[#This Row],[Email]]="invalid_email","Unknown",P133)</f>
        <v>user42@example.com</v>
      </c>
    </row>
    <row r="134" spans="1:17" x14ac:dyDescent="0.3">
      <c r="A134" t="s">
        <v>141</v>
      </c>
      <c r="B134" t="s">
        <v>159</v>
      </c>
      <c r="C134" t="str">
        <f>IF(Table14[[#This Row],[Name]]="","Unknown",Table14[[#This Row],[Name]])</f>
        <v>Eve Adams</v>
      </c>
      <c r="D134" t="s">
        <v>167</v>
      </c>
      <c r="E134" t="str">
        <f>IF(Table14[[#This Row],[Department]]="","Unknown",Table14[[#This Row],[Department]])</f>
        <v>HR</v>
      </c>
      <c r="F134" t="s">
        <v>173</v>
      </c>
      <c r="G134" t="str">
        <f>IF(Table14[[#This Row],[Country]]="","Unknown",Table14[[#This Row],[Country]])</f>
        <v>USA</v>
      </c>
      <c r="H134" s="3">
        <v>38678</v>
      </c>
      <c r="I134" s="3">
        <f>IF(Table14[[#This Row],[Salary]]="N/A",AVERAGEIF(Table14[Department2],Table14[[#This Row],[Department2]],Table14[Salary]),H134)</f>
        <v>38678</v>
      </c>
      <c r="J134" s="5">
        <v>42932</v>
      </c>
      <c r="K134" s="5">
        <f>IF(Table14[[#This Row],[Date of Joining]]="",MEDIAN(Table14[Date of Joining]),Table14[[#This Row],[Date of Joining]])</f>
        <v>42932</v>
      </c>
      <c r="L134" s="10">
        <v>3</v>
      </c>
      <c r="M134" s="10">
        <f>IF(Table14[[#This Row],[Performance Rating]]="",0,Table14[[#This Row],[Performance Rating]])</f>
        <v>3</v>
      </c>
      <c r="N134" t="s">
        <v>179</v>
      </c>
      <c r="O134" t="str">
        <f>IF(Table14[[#This Row],[Gender]]="","Unknown",N134)</f>
        <v>Other</v>
      </c>
      <c r="P134" t="s">
        <v>275</v>
      </c>
      <c r="Q134" t="str">
        <f>IF(Table14[[#This Row],[Email]]="invalid_email","Unknown",P134)</f>
        <v>user188@example.com</v>
      </c>
    </row>
    <row r="135" spans="1:17" x14ac:dyDescent="0.3">
      <c r="A135" t="s">
        <v>142</v>
      </c>
      <c r="B135" t="s">
        <v>164</v>
      </c>
      <c r="C135" t="str">
        <f>IF(Table14[[#This Row],[Name]]="","Unknown",Table14[[#This Row],[Name]])</f>
        <v>Chris Lee</v>
      </c>
      <c r="D135" t="s">
        <v>167</v>
      </c>
      <c r="E135" t="str">
        <f>IF(Table14[[#This Row],[Department]]="","Unknown",Table14[[#This Row],[Department]])</f>
        <v>HR</v>
      </c>
      <c r="F135" t="s">
        <v>172</v>
      </c>
      <c r="G135" t="str">
        <f>IF(Table14[[#This Row],[Country]]="","Unknown",Table14[[#This Row],[Country]])</f>
        <v>Germany</v>
      </c>
      <c r="H135" s="3">
        <v>45758</v>
      </c>
      <c r="I135" s="3">
        <f>IF(Table14[[#This Row],[Salary]]="N/A",AVERAGEIF(Table14[Department2],Table14[[#This Row],[Department2]],Table14[Salary]),H135)</f>
        <v>45758</v>
      </c>
      <c r="J135" s="5">
        <v>42939</v>
      </c>
      <c r="K135" s="5">
        <f>IF(Table14[[#This Row],[Date of Joining]]="",MEDIAN(Table14[Date of Joining]),Table14[[#This Row],[Date of Joining]])</f>
        <v>42939</v>
      </c>
      <c r="L135" s="10">
        <v>3</v>
      </c>
      <c r="M135" s="10">
        <f>IF(Table14[[#This Row],[Performance Rating]]="",0,Table14[[#This Row],[Performance Rating]])</f>
        <v>3</v>
      </c>
      <c r="O135" t="str">
        <f>IF(Table14[[#This Row],[Gender]]="","Unknown",N135)</f>
        <v>Unknown</v>
      </c>
      <c r="P135" t="s">
        <v>264</v>
      </c>
      <c r="Q135" t="str">
        <f>IF(Table14[[#This Row],[Email]]="invalid_email","Unknown",P135)</f>
        <v>user44@example.com</v>
      </c>
    </row>
    <row r="136" spans="1:17" x14ac:dyDescent="0.3">
      <c r="A136" t="s">
        <v>143</v>
      </c>
      <c r="B136" t="s">
        <v>159</v>
      </c>
      <c r="C136" t="str">
        <f>IF(Table14[[#This Row],[Name]]="","Unknown",Table14[[#This Row],[Name]])</f>
        <v>Eve Adams</v>
      </c>
      <c r="D136" t="s">
        <v>170</v>
      </c>
      <c r="E136" t="str">
        <f>IF(Table14[[#This Row],[Department]]="","Unknown",Table14[[#This Row],[Department]])</f>
        <v>Marketing</v>
      </c>
      <c r="F136" t="s">
        <v>174</v>
      </c>
      <c r="G136" t="str">
        <f>IF(Table14[[#This Row],[Country]]="","Unknown",Table14[[#This Row],[Country]])</f>
        <v>India</v>
      </c>
      <c r="H136" s="3">
        <v>62476</v>
      </c>
      <c r="I136" s="3">
        <f>IF(Table14[[#This Row],[Salary]]="N/A",AVERAGEIF(Table14[Department2],Table14[[#This Row],[Department2]],Table14[Salary]),H136)</f>
        <v>62476</v>
      </c>
      <c r="J136" s="5">
        <v>42946</v>
      </c>
      <c r="K136" s="5">
        <f>IF(Table14[[#This Row],[Date of Joining]]="",MEDIAN(Table14[Date of Joining]),Table14[[#This Row],[Date of Joining]])</f>
        <v>42946</v>
      </c>
      <c r="L136" s="10">
        <v>1</v>
      </c>
      <c r="M136" s="10">
        <f>IF(Table14[[#This Row],[Performance Rating]]="",0,Table14[[#This Row],[Performance Rating]])</f>
        <v>1</v>
      </c>
      <c r="N136" t="s">
        <v>179</v>
      </c>
      <c r="O136" t="str">
        <f>IF(Table14[[#This Row],[Gender]]="","Unknown",N136)</f>
        <v>Other</v>
      </c>
      <c r="P136" t="s">
        <v>231</v>
      </c>
      <c r="Q136" t="str">
        <f>IF(Table14[[#This Row],[Email]]="invalid_email","Unknown",P136)</f>
        <v>user63@example.com</v>
      </c>
    </row>
    <row r="137" spans="1:17" x14ac:dyDescent="0.3">
      <c r="A137" t="s">
        <v>144</v>
      </c>
      <c r="C137" t="str">
        <f>IF(Table14[[#This Row],[Name]]="","Unknown",Table14[[#This Row],[Name]])</f>
        <v>Unknown</v>
      </c>
      <c r="D137" t="s">
        <v>169</v>
      </c>
      <c r="E137" t="str">
        <f>IF(Table14[[#This Row],[Department]]="","Unknown",Table14[[#This Row],[Department]])</f>
        <v>IT</v>
      </c>
      <c r="F137" t="s">
        <v>175</v>
      </c>
      <c r="G137" t="str">
        <f>IF(Table14[[#This Row],[Country]]="","Unknown",Table14[[#This Row],[Country]])</f>
        <v>UK</v>
      </c>
      <c r="H137" s="3">
        <v>39280</v>
      </c>
      <c r="I137" s="3">
        <f>IF(Table14[[#This Row],[Salary]]="N/A",AVERAGEIF(Table14[Department2],Table14[[#This Row],[Department2]],Table14[Salary]),H137)</f>
        <v>39280</v>
      </c>
      <c r="J137" s="5">
        <v>42953</v>
      </c>
      <c r="K137" s="5">
        <f>IF(Table14[[#This Row],[Date of Joining]]="",MEDIAN(Table14[Date of Joining]),Table14[[#This Row],[Date of Joining]])</f>
        <v>42953</v>
      </c>
      <c r="L137" s="10">
        <v>3</v>
      </c>
      <c r="M137" s="10">
        <f>IF(Table14[[#This Row],[Performance Rating]]="",0,Table14[[#This Row],[Performance Rating]])</f>
        <v>3</v>
      </c>
      <c r="N137" t="s">
        <v>181</v>
      </c>
      <c r="O137" t="str">
        <f>IF(Table14[[#This Row],[Gender]]="","Unknown",N137)</f>
        <v>Female</v>
      </c>
      <c r="P137" t="s">
        <v>214</v>
      </c>
      <c r="Q137" t="str">
        <f>IF(Table14[[#This Row],[Email]]="invalid_email","Unknown",P137)</f>
        <v>user198@example.com</v>
      </c>
    </row>
    <row r="138" spans="1:17" x14ac:dyDescent="0.3">
      <c r="A138" t="s">
        <v>145</v>
      </c>
      <c r="B138" t="s">
        <v>162</v>
      </c>
      <c r="C138" t="str">
        <f>IF(Table14[[#This Row],[Name]]="","Unknown",Table14[[#This Row],[Name]])</f>
        <v>Jane Smith</v>
      </c>
      <c r="D138" t="s">
        <v>166</v>
      </c>
      <c r="E138" t="str">
        <f>IF(Table14[[#This Row],[Department]]="","Unknown",Table14[[#This Row],[Department]])</f>
        <v>Finance</v>
      </c>
      <c r="F138" t="s">
        <v>174</v>
      </c>
      <c r="G138" t="str">
        <f>IF(Table14[[#This Row],[Country]]="","Unknown",Table14[[#This Row],[Country]])</f>
        <v>India</v>
      </c>
      <c r="H138" s="3">
        <v>60335</v>
      </c>
      <c r="I138" s="3">
        <f>IF(Table14[[#This Row],[Salary]]="N/A",AVERAGEIF(Table14[Department2],Table14[[#This Row],[Department2]],Table14[Salary]),H138)</f>
        <v>60335</v>
      </c>
      <c r="J138" s="5">
        <v>42960</v>
      </c>
      <c r="K138" s="5">
        <f>IF(Table14[[#This Row],[Date of Joining]]="",MEDIAN(Table14[Date of Joining]),Table14[[#This Row],[Date of Joining]])</f>
        <v>42960</v>
      </c>
      <c r="L138" s="10">
        <v>4</v>
      </c>
      <c r="M138" s="10">
        <f>IF(Table14[[#This Row],[Performance Rating]]="",0,Table14[[#This Row],[Performance Rating]])</f>
        <v>4</v>
      </c>
      <c r="N138" t="s">
        <v>179</v>
      </c>
      <c r="O138" t="str">
        <f>IF(Table14[[#This Row],[Gender]]="","Unknown",N138)</f>
        <v>Other</v>
      </c>
      <c r="P138" t="s">
        <v>227</v>
      </c>
      <c r="Q138" t="str">
        <f>IF(Table14[[#This Row],[Email]]="invalid_email","Unknown",P138)</f>
        <v>user59@example.com</v>
      </c>
    </row>
    <row r="139" spans="1:17" x14ac:dyDescent="0.3">
      <c r="A139" t="s">
        <v>146</v>
      </c>
      <c r="B139" t="s">
        <v>164</v>
      </c>
      <c r="C139" t="str">
        <f>IF(Table14[[#This Row],[Name]]="","Unknown",Table14[[#This Row],[Name]])</f>
        <v>Chris Lee</v>
      </c>
      <c r="D139" t="s">
        <v>167</v>
      </c>
      <c r="E139" t="str">
        <f>IF(Table14[[#This Row],[Department]]="","Unknown",Table14[[#This Row],[Department]])</f>
        <v>HR</v>
      </c>
      <c r="F139" t="s">
        <v>172</v>
      </c>
      <c r="G139" t="str">
        <f>IF(Table14[[#This Row],[Country]]="","Unknown",Table14[[#This Row],[Country]])</f>
        <v>Germany</v>
      </c>
      <c r="H139" s="3">
        <v>84968</v>
      </c>
      <c r="I139" s="3">
        <f>IF(Table14[[#This Row],[Salary]]="N/A",AVERAGEIF(Table14[Department2],Table14[[#This Row],[Department2]],Table14[Salary]),H139)</f>
        <v>84968</v>
      </c>
      <c r="J139" s="5">
        <v>42967</v>
      </c>
      <c r="K139" s="5">
        <f>IF(Table14[[#This Row],[Date of Joining]]="",MEDIAN(Table14[Date of Joining]),Table14[[#This Row],[Date of Joining]])</f>
        <v>42967</v>
      </c>
      <c r="L139" s="10"/>
      <c r="M139" s="10">
        <f>IF(Table14[[#This Row],[Performance Rating]]="",0,Table14[[#This Row],[Performance Rating]])</f>
        <v>0</v>
      </c>
      <c r="O139" t="str">
        <f>IF(Table14[[#This Row],[Gender]]="","Unknown",N139)</f>
        <v>Unknown</v>
      </c>
      <c r="P139" t="s">
        <v>276</v>
      </c>
      <c r="Q139" t="str">
        <f>IF(Table14[[#This Row],[Email]]="invalid_email","Unknown",P139)</f>
        <v>user165@example.com</v>
      </c>
    </row>
    <row r="140" spans="1:17" x14ac:dyDescent="0.3">
      <c r="A140" t="s">
        <v>147</v>
      </c>
      <c r="B140" t="s">
        <v>164</v>
      </c>
      <c r="C140" t="str">
        <f>IF(Table14[[#This Row],[Name]]="","Unknown",Table14[[#This Row],[Name]])</f>
        <v>Chris Lee</v>
      </c>
      <c r="D140" t="s">
        <v>170</v>
      </c>
      <c r="E140" t="str">
        <f>IF(Table14[[#This Row],[Department]]="","Unknown",Table14[[#This Row],[Department]])</f>
        <v>Marketing</v>
      </c>
      <c r="F140" t="s">
        <v>176</v>
      </c>
      <c r="G140" t="str">
        <f>IF(Table14[[#This Row],[Country]]="","Unknown",Table14[[#This Row],[Country]])</f>
        <v>Australia</v>
      </c>
      <c r="H140" s="3">
        <v>84750</v>
      </c>
      <c r="I140" s="3">
        <f>IF(Table14[[#This Row],[Salary]]="N/A",AVERAGEIF(Table14[Department2],Table14[[#This Row],[Department2]],Table14[Salary]),H140)</f>
        <v>84750</v>
      </c>
      <c r="J140" s="5">
        <v>42974</v>
      </c>
      <c r="K140" s="5">
        <f>IF(Table14[[#This Row],[Date of Joining]]="",MEDIAN(Table14[Date of Joining]),Table14[[#This Row],[Date of Joining]])</f>
        <v>42974</v>
      </c>
      <c r="L140" s="10">
        <v>4</v>
      </c>
      <c r="M140" s="10">
        <f>IF(Table14[[#This Row],[Performance Rating]]="",0,Table14[[#This Row],[Performance Rating]])</f>
        <v>4</v>
      </c>
      <c r="N140" t="s">
        <v>181</v>
      </c>
      <c r="O140" t="str">
        <f>IF(Table14[[#This Row],[Gender]]="","Unknown",N140)</f>
        <v>Female</v>
      </c>
      <c r="P140" t="s">
        <v>195</v>
      </c>
      <c r="Q140" t="str">
        <f>IF(Table14[[#This Row],[Email]]="invalid_email","Unknown",P140)</f>
        <v>user3@example.com</v>
      </c>
    </row>
    <row r="141" spans="1:17" x14ac:dyDescent="0.3">
      <c r="A141" t="s">
        <v>148</v>
      </c>
      <c r="B141" t="s">
        <v>165</v>
      </c>
      <c r="C141" t="str">
        <f>IF(Table14[[#This Row],[Name]]="","Unknown",Table14[[#This Row],[Name]])</f>
        <v>Bob Johnson</v>
      </c>
      <c r="D141" t="s">
        <v>169</v>
      </c>
      <c r="E141" t="str">
        <f>IF(Table14[[#This Row],[Department]]="","Unknown",Table14[[#This Row],[Department]])</f>
        <v>IT</v>
      </c>
      <c r="G141" t="str">
        <f>IF(Table14[[#This Row],[Country]]="","Unknown",Table14[[#This Row],[Country]])</f>
        <v>Unknown</v>
      </c>
      <c r="H141" s="3">
        <v>73348</v>
      </c>
      <c r="I141" s="3">
        <f>IF(Table14[[#This Row],[Salary]]="N/A",AVERAGEIF(Table14[Department2],Table14[[#This Row],[Department2]],Table14[Salary]),H141)</f>
        <v>73348</v>
      </c>
      <c r="J141" s="5">
        <v>42981</v>
      </c>
      <c r="K141" s="5">
        <f>IF(Table14[[#This Row],[Date of Joining]]="",MEDIAN(Table14[Date of Joining]),Table14[[#This Row],[Date of Joining]])</f>
        <v>42981</v>
      </c>
      <c r="L141" s="10">
        <v>2</v>
      </c>
      <c r="M141" s="10">
        <f>IF(Table14[[#This Row],[Performance Rating]]="",0,Table14[[#This Row],[Performance Rating]])</f>
        <v>2</v>
      </c>
      <c r="O141" t="str">
        <f>IF(Table14[[#This Row],[Gender]]="","Unknown",N141)</f>
        <v>Unknown</v>
      </c>
      <c r="P141" t="s">
        <v>243</v>
      </c>
      <c r="Q141" t="str">
        <f>IF(Table14[[#This Row],[Email]]="invalid_email","Unknown",P141)</f>
        <v>user22@example.com</v>
      </c>
    </row>
    <row r="142" spans="1:17" x14ac:dyDescent="0.3">
      <c r="A142" t="s">
        <v>149</v>
      </c>
      <c r="B142" t="s">
        <v>164</v>
      </c>
      <c r="C142" t="str">
        <f>IF(Table14[[#This Row],[Name]]="","Unknown",Table14[[#This Row],[Name]])</f>
        <v>Chris Lee</v>
      </c>
      <c r="D142" t="s">
        <v>168</v>
      </c>
      <c r="E142" t="str">
        <f>IF(Table14[[#This Row],[Department]]="","Unknown",Table14[[#This Row],[Department]])</f>
        <v>Sales</v>
      </c>
      <c r="F142" t="s">
        <v>173</v>
      </c>
      <c r="G142" t="str">
        <f>IF(Table14[[#This Row],[Country]]="","Unknown",Table14[[#This Row],[Country]])</f>
        <v>USA</v>
      </c>
      <c r="H142" s="3" t="s">
        <v>177</v>
      </c>
      <c r="I142" s="3">
        <f>IF(Table14[[#This Row],[Salary]]="N/A",AVERAGEIF(Table14[Department2],Table14[[#This Row],[Department2]],Table14[Salary]),H142)</f>
        <v>67929.08</v>
      </c>
      <c r="J142" s="5">
        <v>42988</v>
      </c>
      <c r="K142" s="5">
        <f>IF(Table14[[#This Row],[Date of Joining]]="",MEDIAN(Table14[Date of Joining]),Table14[[#This Row],[Date of Joining]])</f>
        <v>42988</v>
      </c>
      <c r="L142" s="10">
        <v>4</v>
      </c>
      <c r="M142" s="10">
        <f>IF(Table14[[#This Row],[Performance Rating]]="",0,Table14[[#This Row],[Performance Rating]])</f>
        <v>4</v>
      </c>
      <c r="N142" t="s">
        <v>179</v>
      </c>
      <c r="O142" t="str">
        <f>IF(Table14[[#This Row],[Gender]]="","Unknown",N142)</f>
        <v>Other</v>
      </c>
      <c r="P142" t="s">
        <v>182</v>
      </c>
      <c r="Q142" t="str">
        <f>IF(Table14[[#This Row],[Email]]="invalid_email","Unknown",P142)</f>
        <v>Unknown</v>
      </c>
    </row>
    <row r="143" spans="1:17" x14ac:dyDescent="0.3">
      <c r="A143" t="s">
        <v>150</v>
      </c>
      <c r="B143" t="s">
        <v>162</v>
      </c>
      <c r="C143" t="str">
        <f>IF(Table14[[#This Row],[Name]]="","Unknown",Table14[[#This Row],[Name]])</f>
        <v>Jane Smith</v>
      </c>
      <c r="D143" t="s">
        <v>170</v>
      </c>
      <c r="E143" t="str">
        <f>IF(Table14[[#This Row],[Department]]="","Unknown",Table14[[#This Row],[Department]])</f>
        <v>Marketing</v>
      </c>
      <c r="F143" t="s">
        <v>173</v>
      </c>
      <c r="G143" t="str">
        <f>IF(Table14[[#This Row],[Country]]="","Unknown",Table14[[#This Row],[Country]])</f>
        <v>USA</v>
      </c>
      <c r="H143" s="3">
        <v>66882</v>
      </c>
      <c r="I143" s="3">
        <f>IF(Table14[[#This Row],[Salary]]="N/A",AVERAGEIF(Table14[Department2],Table14[[#This Row],[Department2]],Table14[Salary]),H143)</f>
        <v>66882</v>
      </c>
      <c r="J143" s="5">
        <v>42995</v>
      </c>
      <c r="K143" s="5">
        <f>IF(Table14[[#This Row],[Date of Joining]]="",MEDIAN(Table14[Date of Joining]),Table14[[#This Row],[Date of Joining]])</f>
        <v>42995</v>
      </c>
      <c r="L143" s="10">
        <v>5</v>
      </c>
      <c r="M143" s="10">
        <f>IF(Table14[[#This Row],[Performance Rating]]="",0,Table14[[#This Row],[Performance Rating]])</f>
        <v>5</v>
      </c>
      <c r="N143" t="s">
        <v>179</v>
      </c>
      <c r="O143" t="str">
        <f>IF(Table14[[#This Row],[Gender]]="","Unknown",N143)</f>
        <v>Other</v>
      </c>
      <c r="P143" t="s">
        <v>207</v>
      </c>
      <c r="Q143" t="str">
        <f>IF(Table14[[#This Row],[Email]]="invalid_email","Unknown",P143)</f>
        <v>user103@example.com</v>
      </c>
    </row>
    <row r="144" spans="1:17" x14ac:dyDescent="0.3">
      <c r="A144" t="s">
        <v>151</v>
      </c>
      <c r="B144" t="s">
        <v>160</v>
      </c>
      <c r="C144" t="str">
        <f>IF(Table14[[#This Row],[Name]]="","Unknown",Table14[[#This Row],[Name]])</f>
        <v>Alice Brown</v>
      </c>
      <c r="D144" t="s">
        <v>170</v>
      </c>
      <c r="E144" t="str">
        <f>IF(Table14[[#This Row],[Department]]="","Unknown",Table14[[#This Row],[Department]])</f>
        <v>Marketing</v>
      </c>
      <c r="G144" t="str">
        <f>IF(Table14[[#This Row],[Country]]="","Unknown",Table14[[#This Row],[Country]])</f>
        <v>Unknown</v>
      </c>
      <c r="H144" s="3">
        <v>86775</v>
      </c>
      <c r="I144" s="3">
        <f>IF(Table14[[#This Row],[Salary]]="N/A",AVERAGEIF(Table14[Department2],Table14[[#This Row],[Department2]],Table14[Salary]),H144)</f>
        <v>86775</v>
      </c>
      <c r="J144" s="5">
        <v>43002</v>
      </c>
      <c r="K144" s="5">
        <f>IF(Table14[[#This Row],[Date of Joining]]="",MEDIAN(Table14[Date of Joining]),Table14[[#This Row],[Date of Joining]])</f>
        <v>43002</v>
      </c>
      <c r="L144" s="10">
        <v>3</v>
      </c>
      <c r="M144" s="10">
        <f>IF(Table14[[#This Row],[Performance Rating]]="",0,Table14[[#This Row],[Performance Rating]])</f>
        <v>3</v>
      </c>
      <c r="N144" t="s">
        <v>179</v>
      </c>
      <c r="O144" t="str">
        <f>IF(Table14[[#This Row],[Gender]]="","Unknown",N144)</f>
        <v>Other</v>
      </c>
      <c r="P144" t="s">
        <v>212</v>
      </c>
      <c r="Q144" t="str">
        <f>IF(Table14[[#This Row],[Email]]="invalid_email","Unknown",P144)</f>
        <v>user190@example.com</v>
      </c>
    </row>
    <row r="145" spans="1:17" x14ac:dyDescent="0.3">
      <c r="A145" t="s">
        <v>152</v>
      </c>
      <c r="B145" t="s">
        <v>164</v>
      </c>
      <c r="C145" t="str">
        <f>IF(Table14[[#This Row],[Name]]="","Unknown",Table14[[#This Row],[Name]])</f>
        <v>Chris Lee</v>
      </c>
      <c r="D145" t="s">
        <v>168</v>
      </c>
      <c r="E145" t="str">
        <f>IF(Table14[[#This Row],[Department]]="","Unknown",Table14[[#This Row],[Department]])</f>
        <v>Sales</v>
      </c>
      <c r="F145" t="s">
        <v>175</v>
      </c>
      <c r="G145" t="str">
        <f>IF(Table14[[#This Row],[Country]]="","Unknown",Table14[[#This Row],[Country]])</f>
        <v>UK</v>
      </c>
      <c r="H145" s="3">
        <v>91620</v>
      </c>
      <c r="I145" s="3">
        <f>IF(Table14[[#This Row],[Salary]]="N/A",AVERAGEIF(Table14[Department2],Table14[[#This Row],[Department2]],Table14[Salary]),H145)</f>
        <v>91620</v>
      </c>
      <c r="J145" s="5">
        <v>43009</v>
      </c>
      <c r="K145" s="5">
        <f>IF(Table14[[#This Row],[Date of Joining]]="",MEDIAN(Table14[Date of Joining]),Table14[[#This Row],[Date of Joining]])</f>
        <v>43009</v>
      </c>
      <c r="L145" s="10"/>
      <c r="M145" s="10">
        <f>IF(Table14[[#This Row],[Performance Rating]]="",0,Table14[[#This Row],[Performance Rating]])</f>
        <v>0</v>
      </c>
      <c r="O145" t="str">
        <f>IF(Table14[[#This Row],[Gender]]="","Unknown",N145)</f>
        <v>Unknown</v>
      </c>
      <c r="P145" t="s">
        <v>277</v>
      </c>
      <c r="Q145" t="str">
        <f>IF(Table14[[#This Row],[Email]]="invalid_email","Unknown",P145)</f>
        <v>user114@example.com</v>
      </c>
    </row>
    <row r="146" spans="1:17" x14ac:dyDescent="0.3">
      <c r="A146" t="s">
        <v>153</v>
      </c>
      <c r="B146" t="s">
        <v>159</v>
      </c>
      <c r="C146" t="str">
        <f>IF(Table14[[#This Row],[Name]]="","Unknown",Table14[[#This Row],[Name]])</f>
        <v>Eve Adams</v>
      </c>
      <c r="E146" t="str">
        <f>IF(Table14[[#This Row],[Department]]="","Unknown",Table14[[#This Row],[Department]])</f>
        <v>Unknown</v>
      </c>
      <c r="G146" t="str">
        <f>IF(Table14[[#This Row],[Country]]="","Unknown",Table14[[#This Row],[Country]])</f>
        <v>Unknown</v>
      </c>
      <c r="H146" s="3">
        <v>94148</v>
      </c>
      <c r="I146" s="3">
        <f>IF(Table14[[#This Row],[Salary]]="N/A",AVERAGEIF(Table14[Department2],Table14[[#This Row],[Department2]],Table14[Salary]),H146)</f>
        <v>94148</v>
      </c>
      <c r="J146" s="5">
        <v>43016</v>
      </c>
      <c r="K146" s="5">
        <f>IF(Table14[[#This Row],[Date of Joining]]="",MEDIAN(Table14[Date of Joining]),Table14[[#This Row],[Date of Joining]])</f>
        <v>43016</v>
      </c>
      <c r="L146" s="10">
        <v>2</v>
      </c>
      <c r="M146" s="10">
        <f>IF(Table14[[#This Row],[Performance Rating]]="",0,Table14[[#This Row],[Performance Rating]])</f>
        <v>2</v>
      </c>
      <c r="O146" t="str">
        <f>IF(Table14[[#This Row],[Gender]]="","Unknown",N146)</f>
        <v>Unknown</v>
      </c>
      <c r="P146" t="s">
        <v>278</v>
      </c>
      <c r="Q146" t="str">
        <f>IF(Table14[[#This Row],[Email]]="invalid_email","Unknown",P146)</f>
        <v>user53@example.com</v>
      </c>
    </row>
    <row r="147" spans="1:17" x14ac:dyDescent="0.3">
      <c r="A147" t="s">
        <v>154</v>
      </c>
      <c r="B147" t="s">
        <v>163</v>
      </c>
      <c r="C147" t="str">
        <f>IF(Table14[[#This Row],[Name]]="","Unknown",Table14[[#This Row],[Name]])</f>
        <v>Sam Wilson</v>
      </c>
      <c r="D147" t="s">
        <v>168</v>
      </c>
      <c r="E147" t="str">
        <f>IF(Table14[[#This Row],[Department]]="","Unknown",Table14[[#This Row],[Department]])</f>
        <v>Sales</v>
      </c>
      <c r="F147" t="s">
        <v>176</v>
      </c>
      <c r="G147" t="str">
        <f>IF(Table14[[#This Row],[Country]]="","Unknown",Table14[[#This Row],[Country]])</f>
        <v>Australia</v>
      </c>
      <c r="H147" s="3">
        <v>35627</v>
      </c>
      <c r="I147" s="3">
        <f>IF(Table14[[#This Row],[Salary]]="N/A",AVERAGEIF(Table14[Department2],Table14[[#This Row],[Department2]],Table14[Salary]),H147)</f>
        <v>35627</v>
      </c>
      <c r="J147" s="5">
        <v>43023</v>
      </c>
      <c r="K147" s="5">
        <f>IF(Table14[[#This Row],[Date of Joining]]="",MEDIAN(Table14[Date of Joining]),Table14[[#This Row],[Date of Joining]])</f>
        <v>43023</v>
      </c>
      <c r="L147" s="10">
        <v>5</v>
      </c>
      <c r="M147" s="10">
        <f>IF(Table14[[#This Row],[Performance Rating]]="",0,Table14[[#This Row],[Performance Rating]])</f>
        <v>5</v>
      </c>
      <c r="N147" t="s">
        <v>181</v>
      </c>
      <c r="O147" t="str">
        <f>IF(Table14[[#This Row],[Gender]]="","Unknown",N147)</f>
        <v>Female</v>
      </c>
      <c r="P147" t="s">
        <v>275</v>
      </c>
      <c r="Q147" t="str">
        <f>IF(Table14[[#This Row],[Email]]="invalid_email","Unknown",P147)</f>
        <v>user188@example.com</v>
      </c>
    </row>
    <row r="148" spans="1:17" x14ac:dyDescent="0.3">
      <c r="A148" t="s">
        <v>155</v>
      </c>
      <c r="B148" t="s">
        <v>161</v>
      </c>
      <c r="C148" t="str">
        <f>IF(Table14[[#This Row],[Name]]="","Unknown",Table14[[#This Row],[Name]])</f>
        <v>John Doe</v>
      </c>
      <c r="D148" t="s">
        <v>170</v>
      </c>
      <c r="E148" t="str">
        <f>IF(Table14[[#This Row],[Department]]="","Unknown",Table14[[#This Row],[Department]])</f>
        <v>Marketing</v>
      </c>
      <c r="F148" t="s">
        <v>173</v>
      </c>
      <c r="G148" t="str">
        <f>IF(Table14[[#This Row],[Country]]="","Unknown",Table14[[#This Row],[Country]])</f>
        <v>USA</v>
      </c>
      <c r="H148" s="3">
        <v>57141</v>
      </c>
      <c r="I148" s="3">
        <f>IF(Table14[[#This Row],[Salary]]="N/A",AVERAGEIF(Table14[Department2],Table14[[#This Row],[Department2]],Table14[Salary]),H148)</f>
        <v>57141</v>
      </c>
      <c r="J148" s="5">
        <v>43030</v>
      </c>
      <c r="K148" s="5">
        <f>IF(Table14[[#This Row],[Date of Joining]]="",MEDIAN(Table14[Date of Joining]),Table14[[#This Row],[Date of Joining]])</f>
        <v>43030</v>
      </c>
      <c r="L148" s="10">
        <v>2</v>
      </c>
      <c r="M148" s="10">
        <f>IF(Table14[[#This Row],[Performance Rating]]="",0,Table14[[#This Row],[Performance Rating]])</f>
        <v>2</v>
      </c>
      <c r="O148" t="str">
        <f>IF(Table14[[#This Row],[Gender]]="","Unknown",N148)</f>
        <v>Unknown</v>
      </c>
      <c r="P148" t="s">
        <v>276</v>
      </c>
      <c r="Q148" t="str">
        <f>IF(Table14[[#This Row],[Email]]="invalid_email","Unknown",P148)</f>
        <v>user165@example.com</v>
      </c>
    </row>
    <row r="149" spans="1:17" x14ac:dyDescent="0.3">
      <c r="A149" t="s">
        <v>156</v>
      </c>
      <c r="B149" t="s">
        <v>165</v>
      </c>
      <c r="C149" t="str">
        <f>IF(Table14[[#This Row],[Name]]="","Unknown",Table14[[#This Row],[Name]])</f>
        <v>Bob Johnson</v>
      </c>
      <c r="D149" t="s">
        <v>168</v>
      </c>
      <c r="E149" t="str">
        <f>IF(Table14[[#This Row],[Department]]="","Unknown",Table14[[#This Row],[Department]])</f>
        <v>Sales</v>
      </c>
      <c r="F149" t="s">
        <v>176</v>
      </c>
      <c r="G149" t="str">
        <f>IF(Table14[[#This Row],[Country]]="","Unknown",Table14[[#This Row],[Country]])</f>
        <v>Australia</v>
      </c>
      <c r="H149" s="3">
        <v>65270</v>
      </c>
      <c r="I149" s="3">
        <f>IF(Table14[[#This Row],[Salary]]="N/A",AVERAGEIF(Table14[Department2],Table14[[#This Row],[Department2]],Table14[Salary]),H149)</f>
        <v>65270</v>
      </c>
      <c r="J149" s="5">
        <v>43037</v>
      </c>
      <c r="K149" s="5">
        <f>IF(Table14[[#This Row],[Date of Joining]]="",MEDIAN(Table14[Date of Joining]),Table14[[#This Row],[Date of Joining]])</f>
        <v>43037</v>
      </c>
      <c r="L149" s="10">
        <v>1</v>
      </c>
      <c r="M149" s="10">
        <f>IF(Table14[[#This Row],[Performance Rating]]="",0,Table14[[#This Row],[Performance Rating]])</f>
        <v>1</v>
      </c>
      <c r="O149" t="str">
        <f>IF(Table14[[#This Row],[Gender]]="","Unknown",N149)</f>
        <v>Unknown</v>
      </c>
      <c r="P149" t="s">
        <v>279</v>
      </c>
      <c r="Q149" t="str">
        <f>IF(Table14[[#This Row],[Email]]="invalid_email","Unknown",P149)</f>
        <v>user163@example.com</v>
      </c>
    </row>
    <row r="150" spans="1:17" x14ac:dyDescent="0.3">
      <c r="A150" t="s">
        <v>157</v>
      </c>
      <c r="B150" t="s">
        <v>165</v>
      </c>
      <c r="C150" t="str">
        <f>IF(Table14[[#This Row],[Name]]="","Unknown",Table14[[#This Row],[Name]])</f>
        <v>Bob Johnson</v>
      </c>
      <c r="E150" t="str">
        <f>IF(Table14[[#This Row],[Department]]="","Unknown",Table14[[#This Row],[Department]])</f>
        <v>Unknown</v>
      </c>
      <c r="F150" t="s">
        <v>175</v>
      </c>
      <c r="G150" t="str">
        <f>IF(Table14[[#This Row],[Country]]="","Unknown",Table14[[#This Row],[Country]])</f>
        <v>UK</v>
      </c>
      <c r="H150" s="3">
        <v>67335</v>
      </c>
      <c r="I150" s="3">
        <f>IF(Table14[[#This Row],[Salary]]="N/A",AVERAGEIF(Table14[Department2],Table14[[#This Row],[Department2]],Table14[Salary]),H150)</f>
        <v>67335</v>
      </c>
      <c r="J150" s="5">
        <v>43044</v>
      </c>
      <c r="K150" s="5">
        <f>IF(Table14[[#This Row],[Date of Joining]]="",MEDIAN(Table14[Date of Joining]),Table14[[#This Row],[Date of Joining]])</f>
        <v>43044</v>
      </c>
      <c r="L150" s="10">
        <v>1</v>
      </c>
      <c r="M150" s="10">
        <f>IF(Table14[[#This Row],[Performance Rating]]="",0,Table14[[#This Row],[Performance Rating]])</f>
        <v>1</v>
      </c>
      <c r="N150" t="s">
        <v>179</v>
      </c>
      <c r="O150" t="str">
        <f>IF(Table14[[#This Row],[Gender]]="","Unknown",N150)</f>
        <v>Other</v>
      </c>
      <c r="P150" t="s">
        <v>233</v>
      </c>
      <c r="Q150" t="str">
        <f>IF(Table14[[#This Row],[Email]]="invalid_email","Unknown",P150)</f>
        <v>user112@example.com</v>
      </c>
    </row>
    <row r="151" spans="1:17" x14ac:dyDescent="0.3">
      <c r="A151" t="s">
        <v>158</v>
      </c>
      <c r="B151" t="s">
        <v>163</v>
      </c>
      <c r="C151" t="str">
        <f>IF(Table14[[#This Row],[Name]]="","Unknown",Table14[[#This Row],[Name]])</f>
        <v>Sam Wilson</v>
      </c>
      <c r="D151" t="s">
        <v>170</v>
      </c>
      <c r="E151" t="str">
        <f>IF(Table14[[#This Row],[Department]]="","Unknown",Table14[[#This Row],[Department]])</f>
        <v>Marketing</v>
      </c>
      <c r="F151" t="s">
        <v>174</v>
      </c>
      <c r="G151" t="str">
        <f>IF(Table14[[#This Row],[Country]]="","Unknown",Table14[[#This Row],[Country]])</f>
        <v>India</v>
      </c>
      <c r="H151" s="3">
        <v>98475</v>
      </c>
      <c r="I151" s="3">
        <f>IF(Table14[[#This Row],[Salary]]="N/A",AVERAGEIF(Table14[Department2],Table14[[#This Row],[Department2]],Table14[Salary]),H151)</f>
        <v>98475</v>
      </c>
      <c r="J151" s="5">
        <v>43051</v>
      </c>
      <c r="K151" s="5">
        <f>IF(Table14[[#This Row],[Date of Joining]]="",MEDIAN(Table14[Date of Joining]),Table14[[#This Row],[Date of Joining]])</f>
        <v>43051</v>
      </c>
      <c r="L151" s="10">
        <v>5</v>
      </c>
      <c r="M151" s="10">
        <f>IF(Table14[[#This Row],[Performance Rating]]="",0,Table14[[#This Row],[Performance Rating]])</f>
        <v>5</v>
      </c>
      <c r="N151" t="s">
        <v>179</v>
      </c>
      <c r="O151" t="str">
        <f>IF(Table14[[#This Row],[Gender]]="","Unknown",N151)</f>
        <v>Other</v>
      </c>
      <c r="P151" t="s">
        <v>280</v>
      </c>
      <c r="Q151" t="str">
        <f>IF(Table14[[#This Row],[Email]]="invalid_email","Unknown",P151)</f>
        <v>user30@example.com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B1E7C-B017-4832-BC82-B2C7BA4DE1E9}">
  <dimension ref="A1:I151"/>
  <sheetViews>
    <sheetView tabSelected="1" workbookViewId="0"/>
  </sheetViews>
  <sheetFormatPr defaultRowHeight="14.4" x14ac:dyDescent="0.3"/>
  <cols>
    <col min="1" max="1" width="18.21875" bestFit="1" customWidth="1"/>
    <col min="2" max="2" width="29.109375" customWidth="1"/>
    <col min="3" max="3" width="19" bestFit="1" customWidth="1"/>
    <col min="4" max="4" width="14.77734375" bestFit="1" customWidth="1"/>
    <col min="5" max="5" width="16.77734375" style="3" customWidth="1"/>
    <col min="6" max="6" width="20.109375" style="5" customWidth="1"/>
    <col min="7" max="7" width="25.77734375" style="7" customWidth="1"/>
    <col min="8" max="8" width="13.109375" customWidth="1"/>
    <col min="9" max="9" width="21.44140625" customWidth="1"/>
  </cols>
  <sheetData>
    <row r="1" spans="1:9" ht="15.6" x14ac:dyDescent="0.3">
      <c r="A1" s="14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284</v>
      </c>
      <c r="G1" s="13" t="s">
        <v>6</v>
      </c>
      <c r="H1" s="13" t="s">
        <v>7</v>
      </c>
      <c r="I1" s="15" t="s">
        <v>8</v>
      </c>
    </row>
    <row r="2" spans="1:9" x14ac:dyDescent="0.3">
      <c r="A2" s="16" t="s">
        <v>9</v>
      </c>
      <c r="B2" s="17" t="str">
        <f>IF(Table14[[#This Row],[Name]]="","Unknown",Table14[[#This Row],[Name]])</f>
        <v>Unknown</v>
      </c>
      <c r="C2" s="17" t="str">
        <f>IF(Table14[[#This Row],[Department]]="","Unknown",Table14[[#This Row],[Department]])</f>
        <v>Finance</v>
      </c>
      <c r="D2" s="17" t="str">
        <f>IF(Table14[[#This Row],[Country]]="","Unknown",Table14[[#This Row],[Country]])</f>
        <v>Unknown</v>
      </c>
      <c r="E2" s="18">
        <v>65604.55</v>
      </c>
      <c r="F2" s="19">
        <f>IF(Table14[[#This Row],[Date of Joining]]="",MEDIAN(Table14[Date of Joining]),Table14[[#This Row],[Date of Joining]])</f>
        <v>42533</v>
      </c>
      <c r="G2" s="20">
        <f>IF(Table14[[#This Row],[Performance Rating]]="",0,Table14[[#This Row],[Performance Rating]])</f>
        <v>2</v>
      </c>
      <c r="H2" s="17" t="s">
        <v>178</v>
      </c>
      <c r="I2" s="21" t="s">
        <v>178</v>
      </c>
    </row>
    <row r="3" spans="1:9" x14ac:dyDescent="0.3">
      <c r="A3" s="16" t="s">
        <v>10</v>
      </c>
      <c r="B3" s="17" t="str">
        <f>IF(Table14[[#This Row],[Name]]="","Unknown",Table14[[#This Row],[Name]])</f>
        <v>Eve Adams</v>
      </c>
      <c r="C3" s="17" t="str">
        <f>IF(Table14[[#This Row],[Department]]="","Unknown",Table14[[#This Row],[Department]])</f>
        <v>HR</v>
      </c>
      <c r="D3" s="17" t="str">
        <f>IF(Table14[[#This Row],[Country]]="","Unknown",Table14[[#This Row],[Country]])</f>
        <v>Germany</v>
      </c>
      <c r="E3" s="22">
        <v>54255</v>
      </c>
      <c r="F3" s="19">
        <f>IF(Table14[[#This Row],[Date of Joining]]="",MEDIAN(Table14[Date of Joining]),Table14[[#This Row],[Date of Joining]])</f>
        <v>42015</v>
      </c>
      <c r="G3" s="20">
        <f>IF(Table14[[#This Row],[Performance Rating]]="",0,Table14[[#This Row],[Performance Rating]])</f>
        <v>1</v>
      </c>
      <c r="H3" s="17" t="s">
        <v>179</v>
      </c>
      <c r="I3" s="21" t="s">
        <v>183</v>
      </c>
    </row>
    <row r="4" spans="1:9" x14ac:dyDescent="0.3">
      <c r="A4" s="16" t="s">
        <v>11</v>
      </c>
      <c r="B4" s="17" t="str">
        <f>IF(Table14[[#This Row],[Name]]="","Unknown",Table14[[#This Row],[Name]])</f>
        <v>Alice Brown</v>
      </c>
      <c r="C4" s="17" t="str">
        <f>IF(Table14[[#This Row],[Department]]="","Unknown",Table14[[#This Row],[Department]])</f>
        <v>Finance</v>
      </c>
      <c r="D4" s="17" t="str">
        <f>IF(Table14[[#This Row],[Country]]="","Unknown",Table14[[#This Row],[Country]])</f>
        <v>Germany</v>
      </c>
      <c r="E4" s="18">
        <v>63184</v>
      </c>
      <c r="F4" s="19">
        <f>IF(Table14[[#This Row],[Date of Joining]]="",MEDIAN(Table14[Date of Joining]),Table14[[#This Row],[Date of Joining]])</f>
        <v>42022</v>
      </c>
      <c r="G4" s="20">
        <f>IF(Table14[[#This Row],[Performance Rating]]="",0,Table14[[#This Row],[Performance Rating]])</f>
        <v>2</v>
      </c>
      <c r="H4" s="17" t="s">
        <v>178</v>
      </c>
      <c r="I4" s="21" t="s">
        <v>184</v>
      </c>
    </row>
    <row r="5" spans="1:9" x14ac:dyDescent="0.3">
      <c r="A5" s="16" t="s">
        <v>12</v>
      </c>
      <c r="B5" s="17" t="str">
        <f>IF(Table14[[#This Row],[Name]]="","Unknown",Table14[[#This Row],[Name]])</f>
        <v>John Doe</v>
      </c>
      <c r="C5" s="17" t="str">
        <f>IF(Table14[[#This Row],[Department]]="","Unknown",Table14[[#This Row],[Department]])</f>
        <v>Sales</v>
      </c>
      <c r="D5" s="17" t="str">
        <f>IF(Table14[[#This Row],[Country]]="","Unknown",Table14[[#This Row],[Country]])</f>
        <v>USA</v>
      </c>
      <c r="E5" s="22">
        <v>94406</v>
      </c>
      <c r="F5" s="19">
        <f>IF(Table14[[#This Row],[Date of Joining]]="",MEDIAN(Table14[Date of Joining]),Table14[[#This Row],[Date of Joining]])</f>
        <v>42029</v>
      </c>
      <c r="G5" s="20">
        <f>IF(Table14[[#This Row],[Performance Rating]]="",0,Table14[[#This Row],[Performance Rating]])</f>
        <v>1</v>
      </c>
      <c r="H5" s="17" t="s">
        <v>180</v>
      </c>
      <c r="I5" s="21" t="s">
        <v>185</v>
      </c>
    </row>
    <row r="6" spans="1:9" x14ac:dyDescent="0.3">
      <c r="A6" s="16" t="s">
        <v>13</v>
      </c>
      <c r="B6" s="17" t="str">
        <f>IF(Table14[[#This Row],[Name]]="","Unknown",Table14[[#This Row],[Name]])</f>
        <v>Jane Smith</v>
      </c>
      <c r="C6" s="17" t="str">
        <f>IF(Table14[[#This Row],[Department]]="","Unknown",Table14[[#This Row],[Department]])</f>
        <v>Sales</v>
      </c>
      <c r="D6" s="17" t="str">
        <f>IF(Table14[[#This Row],[Country]]="","Unknown",Table14[[#This Row],[Country]])</f>
        <v>Germany</v>
      </c>
      <c r="E6" s="18">
        <v>64120</v>
      </c>
      <c r="F6" s="19">
        <f>IF(Table14[[#This Row],[Date of Joining]]="",MEDIAN(Table14[Date of Joining]),Table14[[#This Row],[Date of Joining]])</f>
        <v>42036</v>
      </c>
      <c r="G6" s="20">
        <f>IF(Table14[[#This Row],[Performance Rating]]="",0,Table14[[#This Row],[Performance Rating]])</f>
        <v>1</v>
      </c>
      <c r="H6" s="17" t="s">
        <v>180</v>
      </c>
      <c r="I6" s="21" t="s">
        <v>186</v>
      </c>
    </row>
    <row r="7" spans="1:9" x14ac:dyDescent="0.3">
      <c r="A7" s="16" t="s">
        <v>14</v>
      </c>
      <c r="B7" s="17" t="str">
        <f>IF(Table14[[#This Row],[Name]]="","Unknown",Table14[[#This Row],[Name]])</f>
        <v>Alice Brown</v>
      </c>
      <c r="C7" s="17" t="str">
        <f>IF(Table14[[#This Row],[Department]]="","Unknown",Table14[[#This Row],[Department]])</f>
        <v>IT</v>
      </c>
      <c r="D7" s="17" t="str">
        <f>IF(Table14[[#This Row],[Country]]="","Unknown",Table14[[#This Row],[Country]])</f>
        <v>India</v>
      </c>
      <c r="E7" s="22">
        <v>78421</v>
      </c>
      <c r="F7" s="19">
        <f>IF(Table14[[#This Row],[Date of Joining]]="",MEDIAN(Table14[Date of Joining]),Table14[[#This Row],[Date of Joining]])</f>
        <v>42043</v>
      </c>
      <c r="G7" s="20">
        <f>IF(Table14[[#This Row],[Performance Rating]]="",0,Table14[[#This Row],[Performance Rating]])</f>
        <v>2</v>
      </c>
      <c r="H7" s="17" t="s">
        <v>181</v>
      </c>
      <c r="I7" s="21" t="s">
        <v>187</v>
      </c>
    </row>
    <row r="8" spans="1:9" x14ac:dyDescent="0.3">
      <c r="A8" s="16" t="s">
        <v>15</v>
      </c>
      <c r="B8" s="17" t="str">
        <f>IF(Table14[[#This Row],[Name]]="","Unknown",Table14[[#This Row],[Name]])</f>
        <v>Sam Wilson</v>
      </c>
      <c r="C8" s="17" t="str">
        <f>IF(Table14[[#This Row],[Department]]="","Unknown",Table14[[#This Row],[Department]])</f>
        <v>Sales</v>
      </c>
      <c r="D8" s="17" t="str">
        <f>IF(Table14[[#This Row],[Country]]="","Unknown",Table14[[#This Row],[Country]])</f>
        <v>Unknown</v>
      </c>
      <c r="E8" s="18">
        <v>67721</v>
      </c>
      <c r="F8" s="19">
        <f>IF(Table14[[#This Row],[Date of Joining]]="",MEDIAN(Table14[Date of Joining]),Table14[[#This Row],[Date of Joining]])</f>
        <v>42050</v>
      </c>
      <c r="G8" s="20">
        <f>IF(Table14[[#This Row],[Performance Rating]]="",0,Table14[[#This Row],[Performance Rating]])</f>
        <v>0</v>
      </c>
      <c r="H8" s="17" t="s">
        <v>180</v>
      </c>
      <c r="I8" s="21" t="s">
        <v>185</v>
      </c>
    </row>
    <row r="9" spans="1:9" x14ac:dyDescent="0.3">
      <c r="A9" s="16" t="s">
        <v>16</v>
      </c>
      <c r="B9" s="17" t="str">
        <f>IF(Table14[[#This Row],[Name]]="","Unknown",Table14[[#This Row],[Name]])</f>
        <v>Chris Lee</v>
      </c>
      <c r="C9" s="17" t="str">
        <f>IF(Table14[[#This Row],[Department]]="","Unknown",Table14[[#This Row],[Department]])</f>
        <v>Marketing</v>
      </c>
      <c r="D9" s="17" t="str">
        <f>IF(Table14[[#This Row],[Country]]="","Unknown",Table14[[#This Row],[Country]])</f>
        <v>Unknown</v>
      </c>
      <c r="E9" s="22">
        <v>35364</v>
      </c>
      <c r="F9" s="19">
        <f>IF(Table14[[#This Row],[Date of Joining]]="",MEDIAN(Table14[Date of Joining]),Table14[[#This Row],[Date of Joining]])</f>
        <v>42057</v>
      </c>
      <c r="G9" s="20">
        <f>IF(Table14[[#This Row],[Performance Rating]]="",0,Table14[[#This Row],[Performance Rating]])</f>
        <v>2</v>
      </c>
      <c r="H9" s="17" t="s">
        <v>179</v>
      </c>
      <c r="I9" s="21" t="s">
        <v>188</v>
      </c>
    </row>
    <row r="10" spans="1:9" x14ac:dyDescent="0.3">
      <c r="A10" s="16" t="s">
        <v>17</v>
      </c>
      <c r="B10" s="17" t="str">
        <f>IF(Table14[[#This Row],[Name]]="","Unknown",Table14[[#This Row],[Name]])</f>
        <v>Alice Brown</v>
      </c>
      <c r="C10" s="17" t="str">
        <f>IF(Table14[[#This Row],[Department]]="","Unknown",Table14[[#This Row],[Department]])</f>
        <v>IT</v>
      </c>
      <c r="D10" s="17" t="str">
        <f>IF(Table14[[#This Row],[Country]]="","Unknown",Table14[[#This Row],[Country]])</f>
        <v>Germany</v>
      </c>
      <c r="E10" s="18">
        <v>97881</v>
      </c>
      <c r="F10" s="19">
        <f>IF(Table14[[#This Row],[Date of Joining]]="",MEDIAN(Table14[Date of Joining]),Table14[[#This Row],[Date of Joining]])</f>
        <v>42064</v>
      </c>
      <c r="G10" s="20">
        <f>IF(Table14[[#This Row],[Performance Rating]]="",0,Table14[[#This Row],[Performance Rating]])</f>
        <v>0</v>
      </c>
      <c r="H10" s="17" t="s">
        <v>181</v>
      </c>
      <c r="I10" s="21" t="s">
        <v>189</v>
      </c>
    </row>
    <row r="11" spans="1:9" x14ac:dyDescent="0.3">
      <c r="A11" s="16" t="s">
        <v>18</v>
      </c>
      <c r="B11" s="17" t="str">
        <f>IF(Table14[[#This Row],[Name]]="","Unknown",Table14[[#This Row],[Name]])</f>
        <v>Chris Lee</v>
      </c>
      <c r="C11" s="17" t="str">
        <f>IF(Table14[[#This Row],[Department]]="","Unknown",Table14[[#This Row],[Department]])</f>
        <v>HR</v>
      </c>
      <c r="D11" s="17" t="str">
        <f>IF(Table14[[#This Row],[Country]]="","Unknown",Table14[[#This Row],[Country]])</f>
        <v>UK</v>
      </c>
      <c r="E11" s="22">
        <v>91846</v>
      </c>
      <c r="F11" s="19">
        <f>IF(Table14[[#This Row],[Date of Joining]]="",MEDIAN(Table14[Date of Joining]),Table14[[#This Row],[Date of Joining]])</f>
        <v>42071</v>
      </c>
      <c r="G11" s="20">
        <f>IF(Table14[[#This Row],[Performance Rating]]="",0,Table14[[#This Row],[Performance Rating]])</f>
        <v>0</v>
      </c>
      <c r="H11" s="17" t="s">
        <v>180</v>
      </c>
      <c r="I11" s="21" t="s">
        <v>190</v>
      </c>
    </row>
    <row r="12" spans="1:9" x14ac:dyDescent="0.3">
      <c r="A12" s="16" t="s">
        <v>19</v>
      </c>
      <c r="B12" s="17" t="str">
        <f>IF(Table14[[#This Row],[Name]]="","Unknown",Table14[[#This Row],[Name]])</f>
        <v>Sam Wilson</v>
      </c>
      <c r="C12" s="17" t="str">
        <f>IF(Table14[[#This Row],[Department]]="","Unknown",Table14[[#This Row],[Department]])</f>
        <v>Finance</v>
      </c>
      <c r="D12" s="17" t="str">
        <f>IF(Table14[[#This Row],[Country]]="","Unknown",Table14[[#This Row],[Country]])</f>
        <v>UK</v>
      </c>
      <c r="E12" s="18">
        <v>64247</v>
      </c>
      <c r="F12" s="19">
        <f>IF(Table14[[#This Row],[Date of Joining]]="",MEDIAN(Table14[Date of Joining]),Table14[[#This Row],[Date of Joining]])</f>
        <v>42078</v>
      </c>
      <c r="G12" s="20">
        <f>IF(Table14[[#This Row],[Performance Rating]]="",0,Table14[[#This Row],[Performance Rating]])</f>
        <v>1</v>
      </c>
      <c r="H12" s="17" t="s">
        <v>181</v>
      </c>
      <c r="I12" s="21" t="s">
        <v>191</v>
      </c>
    </row>
    <row r="13" spans="1:9" x14ac:dyDescent="0.3">
      <c r="A13" s="16" t="s">
        <v>20</v>
      </c>
      <c r="B13" s="17" t="str">
        <f>IF(Table14[[#This Row],[Name]]="","Unknown",Table14[[#This Row],[Name]])</f>
        <v>Sam Wilson</v>
      </c>
      <c r="C13" s="17" t="str">
        <f>IF(Table14[[#This Row],[Department]]="","Unknown",Table14[[#This Row],[Department]])</f>
        <v>IT</v>
      </c>
      <c r="D13" s="17" t="str">
        <f>IF(Table14[[#This Row],[Country]]="","Unknown",Table14[[#This Row],[Country]])</f>
        <v>USA</v>
      </c>
      <c r="E13" s="22">
        <v>91180</v>
      </c>
      <c r="F13" s="19">
        <f>IF(Table14[[#This Row],[Date of Joining]]="",MEDIAN(Table14[Date of Joining]),Table14[[#This Row],[Date of Joining]])</f>
        <v>42085</v>
      </c>
      <c r="G13" s="20">
        <f>IF(Table14[[#This Row],[Performance Rating]]="",0,Table14[[#This Row],[Performance Rating]])</f>
        <v>5</v>
      </c>
      <c r="H13" s="17" t="s">
        <v>180</v>
      </c>
      <c r="I13" s="21" t="s">
        <v>192</v>
      </c>
    </row>
    <row r="14" spans="1:9" x14ac:dyDescent="0.3">
      <c r="A14" s="16" t="s">
        <v>21</v>
      </c>
      <c r="B14" s="17" t="str">
        <f>IF(Table14[[#This Row],[Name]]="","Unknown",Table14[[#This Row],[Name]])</f>
        <v>Bob Johnson</v>
      </c>
      <c r="C14" s="17" t="str">
        <f>IF(Table14[[#This Row],[Department]]="","Unknown",Table14[[#This Row],[Department]])</f>
        <v>Sales</v>
      </c>
      <c r="D14" s="17" t="str">
        <f>IF(Table14[[#This Row],[Country]]="","Unknown",Table14[[#This Row],[Country]])</f>
        <v>Unknown</v>
      </c>
      <c r="E14" s="18">
        <v>96418</v>
      </c>
      <c r="F14" s="19">
        <f>IF(Table14[[#This Row],[Date of Joining]]="",MEDIAN(Table14[Date of Joining]),Table14[[#This Row],[Date of Joining]])</f>
        <v>42092</v>
      </c>
      <c r="G14" s="20">
        <f>IF(Table14[[#This Row],[Performance Rating]]="",0,Table14[[#This Row],[Performance Rating]])</f>
        <v>5</v>
      </c>
      <c r="H14" s="17" t="s">
        <v>180</v>
      </c>
      <c r="I14" s="21" t="s">
        <v>183</v>
      </c>
    </row>
    <row r="15" spans="1:9" x14ac:dyDescent="0.3">
      <c r="A15" s="16" t="s">
        <v>22</v>
      </c>
      <c r="B15" s="17" t="str">
        <f>IF(Table14[[#This Row],[Name]]="","Unknown",Table14[[#This Row],[Name]])</f>
        <v>Sam Wilson</v>
      </c>
      <c r="C15" s="17" t="str">
        <f>IF(Table14[[#This Row],[Department]]="","Unknown",Table14[[#This Row],[Department]])</f>
        <v>Unknown</v>
      </c>
      <c r="D15" s="17" t="str">
        <f>IF(Table14[[#This Row],[Country]]="","Unknown",Table14[[#This Row],[Country]])</f>
        <v>India</v>
      </c>
      <c r="E15" s="22">
        <v>62158</v>
      </c>
      <c r="F15" s="19">
        <f>IF(Table14[[#This Row],[Date of Joining]]="",MEDIAN(Table14[Date of Joining]),Table14[[#This Row],[Date of Joining]])</f>
        <v>42099</v>
      </c>
      <c r="G15" s="20">
        <f>IF(Table14[[#This Row],[Performance Rating]]="",0,Table14[[#This Row],[Performance Rating]])</f>
        <v>4</v>
      </c>
      <c r="H15" s="17" t="s">
        <v>178</v>
      </c>
      <c r="I15" s="21" t="s">
        <v>193</v>
      </c>
    </row>
    <row r="16" spans="1:9" x14ac:dyDescent="0.3">
      <c r="A16" s="16" t="s">
        <v>23</v>
      </c>
      <c r="B16" s="17" t="str">
        <f>IF(Table14[[#This Row],[Name]]="","Unknown",Table14[[#This Row],[Name]])</f>
        <v>Jane Smith</v>
      </c>
      <c r="C16" s="17" t="str">
        <f>IF(Table14[[#This Row],[Department]]="","Unknown",Table14[[#This Row],[Department]])</f>
        <v>HR</v>
      </c>
      <c r="D16" s="17" t="str">
        <f>IF(Table14[[#This Row],[Country]]="","Unknown",Table14[[#This Row],[Country]])</f>
        <v>Unknown</v>
      </c>
      <c r="E16" s="18">
        <v>59894</v>
      </c>
      <c r="F16" s="19">
        <f>IF(Table14[[#This Row],[Date of Joining]]="",MEDIAN(Table14[Date of Joining]),Table14[[#This Row],[Date of Joining]])</f>
        <v>42106</v>
      </c>
      <c r="G16" s="20">
        <f>IF(Table14[[#This Row],[Performance Rating]]="",0,Table14[[#This Row],[Performance Rating]])</f>
        <v>2</v>
      </c>
      <c r="H16" s="17" t="s">
        <v>180</v>
      </c>
      <c r="I16" s="21" t="s">
        <v>194</v>
      </c>
    </row>
    <row r="17" spans="1:9" x14ac:dyDescent="0.3">
      <c r="A17" s="16" t="s">
        <v>24</v>
      </c>
      <c r="B17" s="17" t="str">
        <f>IF(Table14[[#This Row],[Name]]="","Unknown",Table14[[#This Row],[Name]])</f>
        <v>Unknown</v>
      </c>
      <c r="C17" s="17" t="str">
        <f>IF(Table14[[#This Row],[Department]]="","Unknown",Table14[[#This Row],[Department]])</f>
        <v>IT</v>
      </c>
      <c r="D17" s="17" t="str">
        <f>IF(Table14[[#This Row],[Country]]="","Unknown",Table14[[#This Row],[Country]])</f>
        <v>India</v>
      </c>
      <c r="E17" s="22">
        <v>92443</v>
      </c>
      <c r="F17" s="19">
        <f>IF(Table14[[#This Row],[Date of Joining]]="",MEDIAN(Table14[Date of Joining]),Table14[[#This Row],[Date of Joining]])</f>
        <v>42113</v>
      </c>
      <c r="G17" s="20">
        <f>IF(Table14[[#This Row],[Performance Rating]]="",0,Table14[[#This Row],[Performance Rating]])</f>
        <v>3</v>
      </c>
      <c r="H17" s="17" t="s">
        <v>179</v>
      </c>
      <c r="I17" s="21" t="s">
        <v>195</v>
      </c>
    </row>
    <row r="18" spans="1:9" x14ac:dyDescent="0.3">
      <c r="A18" s="16" t="s">
        <v>25</v>
      </c>
      <c r="B18" s="17" t="str">
        <f>IF(Table14[[#This Row],[Name]]="","Unknown",Table14[[#This Row],[Name]])</f>
        <v>Bob Johnson</v>
      </c>
      <c r="C18" s="17" t="str">
        <f>IF(Table14[[#This Row],[Department]]="","Unknown",Table14[[#This Row],[Department]])</f>
        <v>Unknown</v>
      </c>
      <c r="D18" s="17" t="str">
        <f>IF(Table14[[#This Row],[Country]]="","Unknown",Table14[[#This Row],[Country]])</f>
        <v>Germany</v>
      </c>
      <c r="E18" s="18">
        <v>90271</v>
      </c>
      <c r="F18" s="19">
        <f>IF(Table14[[#This Row],[Date of Joining]]="",MEDIAN(Table14[Date of Joining]),Table14[[#This Row],[Date of Joining]])</f>
        <v>42120</v>
      </c>
      <c r="G18" s="20">
        <f>IF(Table14[[#This Row],[Performance Rating]]="",0,Table14[[#This Row],[Performance Rating]])</f>
        <v>0</v>
      </c>
      <c r="H18" s="17" t="s">
        <v>178</v>
      </c>
      <c r="I18" s="21" t="s">
        <v>196</v>
      </c>
    </row>
    <row r="19" spans="1:9" x14ac:dyDescent="0.3">
      <c r="A19" s="16" t="s">
        <v>26</v>
      </c>
      <c r="B19" s="17" t="str">
        <f>IF(Table14[[#This Row],[Name]]="","Unknown",Table14[[#This Row],[Name]])</f>
        <v>Jane Smith</v>
      </c>
      <c r="C19" s="17" t="str">
        <f>IF(Table14[[#This Row],[Department]]="","Unknown",Table14[[#This Row],[Department]])</f>
        <v>Finance</v>
      </c>
      <c r="D19" s="17" t="str">
        <f>IF(Table14[[#This Row],[Country]]="","Unknown",Table14[[#This Row],[Country]])</f>
        <v>Australia</v>
      </c>
      <c r="E19" s="22">
        <v>41341</v>
      </c>
      <c r="F19" s="19">
        <f>IF(Table14[[#This Row],[Date of Joining]]="",MEDIAN(Table14[Date of Joining]),Table14[[#This Row],[Date of Joining]])</f>
        <v>42127</v>
      </c>
      <c r="G19" s="20">
        <f>IF(Table14[[#This Row],[Performance Rating]]="",0,Table14[[#This Row],[Performance Rating]])</f>
        <v>1</v>
      </c>
      <c r="H19" s="17" t="s">
        <v>179</v>
      </c>
      <c r="I19" s="21" t="s">
        <v>197</v>
      </c>
    </row>
    <row r="20" spans="1:9" x14ac:dyDescent="0.3">
      <c r="A20" s="16" t="s">
        <v>27</v>
      </c>
      <c r="B20" s="17" t="str">
        <f>IF(Table14[[#This Row],[Name]]="","Unknown",Table14[[#This Row],[Name]])</f>
        <v>Alice Brown</v>
      </c>
      <c r="C20" s="17" t="str">
        <f>IF(Table14[[#This Row],[Department]]="","Unknown",Table14[[#This Row],[Department]])</f>
        <v>Finance</v>
      </c>
      <c r="D20" s="17" t="str">
        <f>IF(Table14[[#This Row],[Country]]="","Unknown",Table14[[#This Row],[Country]])</f>
        <v>UK</v>
      </c>
      <c r="E20" s="18">
        <v>73602</v>
      </c>
      <c r="F20" s="19">
        <f>IF(Table14[[#This Row],[Date of Joining]]="",MEDIAN(Table14[Date of Joining]),Table14[[#This Row],[Date of Joining]])</f>
        <v>42134</v>
      </c>
      <c r="G20" s="20">
        <f>IF(Table14[[#This Row],[Performance Rating]]="",0,Table14[[#This Row],[Performance Rating]])</f>
        <v>0</v>
      </c>
      <c r="H20" s="17" t="s">
        <v>178</v>
      </c>
      <c r="I20" s="21" t="s">
        <v>198</v>
      </c>
    </row>
    <row r="21" spans="1:9" x14ac:dyDescent="0.3">
      <c r="A21" s="16" t="s">
        <v>28</v>
      </c>
      <c r="B21" s="17" t="str">
        <f>IF(Table14[[#This Row],[Name]]="","Unknown",Table14[[#This Row],[Name]])</f>
        <v>Eve Adams</v>
      </c>
      <c r="C21" s="17" t="str">
        <f>IF(Table14[[#This Row],[Department]]="","Unknown",Table14[[#This Row],[Department]])</f>
        <v>Unknown</v>
      </c>
      <c r="D21" s="17" t="str">
        <f>IF(Table14[[#This Row],[Country]]="","Unknown",Table14[[#This Row],[Country]])</f>
        <v>India</v>
      </c>
      <c r="E21" s="22">
        <v>67531</v>
      </c>
      <c r="F21" s="19">
        <f>IF(Table14[[#This Row],[Date of Joining]]="",MEDIAN(Table14[Date of Joining]),Table14[[#This Row],[Date of Joining]])</f>
        <v>42141</v>
      </c>
      <c r="G21" s="20">
        <f>IF(Table14[[#This Row],[Performance Rating]]="",0,Table14[[#This Row],[Performance Rating]])</f>
        <v>5</v>
      </c>
      <c r="H21" s="17" t="s">
        <v>181</v>
      </c>
      <c r="I21" s="21" t="s">
        <v>199</v>
      </c>
    </row>
    <row r="22" spans="1:9" x14ac:dyDescent="0.3">
      <c r="A22" s="16" t="s">
        <v>29</v>
      </c>
      <c r="B22" s="17" t="str">
        <f>IF(Table14[[#This Row],[Name]]="","Unknown",Table14[[#This Row],[Name]])</f>
        <v>Jane Smith</v>
      </c>
      <c r="C22" s="17" t="str">
        <f>IF(Table14[[#This Row],[Department]]="","Unknown",Table14[[#This Row],[Department]])</f>
        <v>HR</v>
      </c>
      <c r="D22" s="17" t="str">
        <f>IF(Table14[[#This Row],[Country]]="","Unknown",Table14[[#This Row],[Country]])</f>
        <v>USA</v>
      </c>
      <c r="E22" s="18">
        <v>67834.565217391311</v>
      </c>
      <c r="F22" s="19">
        <f>IF(Table14[[#This Row],[Date of Joining]]="",MEDIAN(Table14[Date of Joining]),Table14[[#This Row],[Date of Joining]])</f>
        <v>42148</v>
      </c>
      <c r="G22" s="20">
        <f>IF(Table14[[#This Row],[Performance Rating]]="",0,Table14[[#This Row],[Performance Rating]])</f>
        <v>2</v>
      </c>
      <c r="H22" s="17" t="s">
        <v>179</v>
      </c>
      <c r="I22" s="21" t="s">
        <v>200</v>
      </c>
    </row>
    <row r="23" spans="1:9" x14ac:dyDescent="0.3">
      <c r="A23" s="16" t="s">
        <v>30</v>
      </c>
      <c r="B23" s="17" t="str">
        <f>IF(Table14[[#This Row],[Name]]="","Unknown",Table14[[#This Row],[Name]])</f>
        <v>Jane Smith</v>
      </c>
      <c r="C23" s="17" t="str">
        <f>IF(Table14[[#This Row],[Department]]="","Unknown",Table14[[#This Row],[Department]])</f>
        <v>HR</v>
      </c>
      <c r="D23" s="17" t="str">
        <f>IF(Table14[[#This Row],[Country]]="","Unknown",Table14[[#This Row],[Country]])</f>
        <v>Unknown</v>
      </c>
      <c r="E23" s="22">
        <v>98922</v>
      </c>
      <c r="F23" s="19">
        <f>IF(Table14[[#This Row],[Date of Joining]]="",MEDIAN(Table14[Date of Joining]),Table14[[#This Row],[Date of Joining]])</f>
        <v>42155</v>
      </c>
      <c r="G23" s="20">
        <f>IF(Table14[[#This Row],[Performance Rating]]="",0,Table14[[#This Row],[Performance Rating]])</f>
        <v>4</v>
      </c>
      <c r="H23" s="17" t="s">
        <v>178</v>
      </c>
      <c r="I23" s="21" t="s">
        <v>201</v>
      </c>
    </row>
    <row r="24" spans="1:9" x14ac:dyDescent="0.3">
      <c r="A24" s="16" t="s">
        <v>31</v>
      </c>
      <c r="B24" s="17" t="str">
        <f>IF(Table14[[#This Row],[Name]]="","Unknown",Table14[[#This Row],[Name]])</f>
        <v>Eve Adams</v>
      </c>
      <c r="C24" s="17" t="str">
        <f>IF(Table14[[#This Row],[Department]]="","Unknown",Table14[[#This Row],[Department]])</f>
        <v>Finance</v>
      </c>
      <c r="D24" s="17" t="str">
        <f>IF(Table14[[#This Row],[Country]]="","Unknown",Table14[[#This Row],[Country]])</f>
        <v>India</v>
      </c>
      <c r="E24" s="18">
        <v>38333</v>
      </c>
      <c r="F24" s="19">
        <f>IF(Table14[[#This Row],[Date of Joining]]="",MEDIAN(Table14[Date of Joining]),Table14[[#This Row],[Date of Joining]])</f>
        <v>42162</v>
      </c>
      <c r="G24" s="20">
        <f>IF(Table14[[#This Row],[Performance Rating]]="",0,Table14[[#This Row],[Performance Rating]])</f>
        <v>5</v>
      </c>
      <c r="H24" s="17" t="s">
        <v>178</v>
      </c>
      <c r="I24" s="21" t="s">
        <v>202</v>
      </c>
    </row>
    <row r="25" spans="1:9" x14ac:dyDescent="0.3">
      <c r="A25" s="16" t="s">
        <v>32</v>
      </c>
      <c r="B25" s="17" t="str">
        <f>IF(Table14[[#This Row],[Name]]="","Unknown",Table14[[#This Row],[Name]])</f>
        <v>Alice Brown</v>
      </c>
      <c r="C25" s="17" t="str">
        <f>IF(Table14[[#This Row],[Department]]="","Unknown",Table14[[#This Row],[Department]])</f>
        <v>Marketing</v>
      </c>
      <c r="D25" s="17" t="str">
        <f>IF(Table14[[#This Row],[Country]]="","Unknown",Table14[[#This Row],[Country]])</f>
        <v>UK</v>
      </c>
      <c r="E25" s="22">
        <v>36515</v>
      </c>
      <c r="F25" s="19">
        <f>IF(Table14[[#This Row],[Date of Joining]]="",MEDIAN(Table14[Date of Joining]),Table14[[#This Row],[Date of Joining]])</f>
        <v>42169</v>
      </c>
      <c r="G25" s="20">
        <f>IF(Table14[[#This Row],[Performance Rating]]="",0,Table14[[#This Row],[Performance Rating]])</f>
        <v>3</v>
      </c>
      <c r="H25" s="17" t="s">
        <v>180</v>
      </c>
      <c r="I25" s="21" t="s">
        <v>203</v>
      </c>
    </row>
    <row r="26" spans="1:9" x14ac:dyDescent="0.3">
      <c r="A26" s="16" t="s">
        <v>33</v>
      </c>
      <c r="B26" s="17" t="str">
        <f>IF(Table14[[#This Row],[Name]]="","Unknown",Table14[[#This Row],[Name]])</f>
        <v>Sam Wilson</v>
      </c>
      <c r="C26" s="17" t="str">
        <f>IF(Table14[[#This Row],[Department]]="","Unknown",Table14[[#This Row],[Department]])</f>
        <v>Finance</v>
      </c>
      <c r="D26" s="17" t="str">
        <f>IF(Table14[[#This Row],[Country]]="","Unknown",Table14[[#This Row],[Country]])</f>
        <v>Unknown</v>
      </c>
      <c r="E26" s="18">
        <v>91005</v>
      </c>
      <c r="F26" s="19">
        <f>IF(Table14[[#This Row],[Date of Joining]]="",MEDIAN(Table14[Date of Joining]),Table14[[#This Row],[Date of Joining]])</f>
        <v>42176</v>
      </c>
      <c r="G26" s="20">
        <f>IF(Table14[[#This Row],[Performance Rating]]="",0,Table14[[#This Row],[Performance Rating]])</f>
        <v>1</v>
      </c>
      <c r="H26" s="17" t="s">
        <v>179</v>
      </c>
      <c r="I26" s="21" t="s">
        <v>204</v>
      </c>
    </row>
    <row r="27" spans="1:9" x14ac:dyDescent="0.3">
      <c r="A27" s="16" t="s">
        <v>34</v>
      </c>
      <c r="B27" s="17" t="str">
        <f>IF(Table14[[#This Row],[Name]]="","Unknown",Table14[[#This Row],[Name]])</f>
        <v>Chris Lee</v>
      </c>
      <c r="C27" s="17" t="str">
        <f>IF(Table14[[#This Row],[Department]]="","Unknown",Table14[[#This Row],[Department]])</f>
        <v>Unknown</v>
      </c>
      <c r="D27" s="17" t="str">
        <f>IF(Table14[[#This Row],[Country]]="","Unknown",Table14[[#This Row],[Country]])</f>
        <v>Unknown</v>
      </c>
      <c r="E27" s="22">
        <v>52272</v>
      </c>
      <c r="F27" s="19">
        <f>IF(Table14[[#This Row],[Date of Joining]]="",MEDIAN(Table14[Date of Joining]),Table14[[#This Row],[Date of Joining]])</f>
        <v>42183</v>
      </c>
      <c r="G27" s="20">
        <f>IF(Table14[[#This Row],[Performance Rating]]="",0,Table14[[#This Row],[Performance Rating]])</f>
        <v>3</v>
      </c>
      <c r="H27" s="17" t="s">
        <v>178</v>
      </c>
      <c r="I27" s="21" t="s">
        <v>205</v>
      </c>
    </row>
    <row r="28" spans="1:9" x14ac:dyDescent="0.3">
      <c r="A28" s="16" t="s">
        <v>35</v>
      </c>
      <c r="B28" s="17" t="str">
        <f>IF(Table14[[#This Row],[Name]]="","Unknown",Table14[[#This Row],[Name]])</f>
        <v>Eve Adams</v>
      </c>
      <c r="C28" s="17" t="str">
        <f>IF(Table14[[#This Row],[Department]]="","Unknown",Table14[[#This Row],[Department]])</f>
        <v>Sales</v>
      </c>
      <c r="D28" s="17" t="str">
        <f>IF(Table14[[#This Row],[Country]]="","Unknown",Table14[[#This Row],[Country]])</f>
        <v>Germany</v>
      </c>
      <c r="E28" s="18">
        <v>76518</v>
      </c>
      <c r="F28" s="19">
        <f>IF(Table14[[#This Row],[Date of Joining]]="",MEDIAN(Table14[Date of Joining]),Table14[[#This Row],[Date of Joining]])</f>
        <v>42190</v>
      </c>
      <c r="G28" s="20">
        <f>IF(Table14[[#This Row],[Performance Rating]]="",0,Table14[[#This Row],[Performance Rating]])</f>
        <v>2</v>
      </c>
      <c r="H28" s="17" t="s">
        <v>181</v>
      </c>
      <c r="I28" s="21" t="s">
        <v>206</v>
      </c>
    </row>
    <row r="29" spans="1:9" x14ac:dyDescent="0.3">
      <c r="A29" s="16" t="s">
        <v>36</v>
      </c>
      <c r="B29" s="17" t="str">
        <f>IF(Table14[[#This Row],[Name]]="","Unknown",Table14[[#This Row],[Name]])</f>
        <v>Alice Brown</v>
      </c>
      <c r="C29" s="17" t="str">
        <f>IF(Table14[[#This Row],[Department]]="","Unknown",Table14[[#This Row],[Department]])</f>
        <v>IT</v>
      </c>
      <c r="D29" s="17" t="str">
        <f>IF(Table14[[#This Row],[Country]]="","Unknown",Table14[[#This Row],[Country]])</f>
        <v>UK</v>
      </c>
      <c r="E29" s="22">
        <v>41448</v>
      </c>
      <c r="F29" s="19">
        <f>IF(Table14[[#This Row],[Date of Joining]]="",MEDIAN(Table14[Date of Joining]),Table14[[#This Row],[Date of Joining]])</f>
        <v>42197</v>
      </c>
      <c r="G29" s="20">
        <f>IF(Table14[[#This Row],[Performance Rating]]="",0,Table14[[#This Row],[Performance Rating]])</f>
        <v>3</v>
      </c>
      <c r="H29" s="17" t="s">
        <v>179</v>
      </c>
      <c r="I29" s="21" t="s">
        <v>207</v>
      </c>
    </row>
    <row r="30" spans="1:9" x14ac:dyDescent="0.3">
      <c r="A30" s="16" t="s">
        <v>37</v>
      </c>
      <c r="B30" s="17" t="str">
        <f>IF(Table14[[#This Row],[Name]]="","Unknown",Table14[[#This Row],[Name]])</f>
        <v>John Doe</v>
      </c>
      <c r="C30" s="17" t="str">
        <f>IF(Table14[[#This Row],[Department]]="","Unknown",Table14[[#This Row],[Department]])</f>
        <v>HR</v>
      </c>
      <c r="D30" s="17" t="str">
        <f>IF(Table14[[#This Row],[Country]]="","Unknown",Table14[[#This Row],[Country]])</f>
        <v>UK</v>
      </c>
      <c r="E30" s="18">
        <v>49282</v>
      </c>
      <c r="F30" s="19">
        <f>IF(Table14[[#This Row],[Date of Joining]]="",MEDIAN(Table14[Date of Joining]),Table14[[#This Row],[Date of Joining]])</f>
        <v>42204</v>
      </c>
      <c r="G30" s="20">
        <f>IF(Table14[[#This Row],[Performance Rating]]="",0,Table14[[#This Row],[Performance Rating]])</f>
        <v>2</v>
      </c>
      <c r="H30" s="17" t="s">
        <v>181</v>
      </c>
      <c r="I30" s="21" t="s">
        <v>208</v>
      </c>
    </row>
    <row r="31" spans="1:9" x14ac:dyDescent="0.3">
      <c r="A31" s="16" t="s">
        <v>38</v>
      </c>
      <c r="B31" s="17" t="str">
        <f>IF(Table14[[#This Row],[Name]]="","Unknown",Table14[[#This Row],[Name]])</f>
        <v>Bob Johnson</v>
      </c>
      <c r="C31" s="17" t="str">
        <f>IF(Table14[[#This Row],[Department]]="","Unknown",Table14[[#This Row],[Department]])</f>
        <v>Marketing</v>
      </c>
      <c r="D31" s="17" t="str">
        <f>IF(Table14[[#This Row],[Country]]="","Unknown",Table14[[#This Row],[Country]])</f>
        <v>UK</v>
      </c>
      <c r="E31" s="22">
        <v>92959</v>
      </c>
      <c r="F31" s="19">
        <f>IF(Table14[[#This Row],[Date of Joining]]="",MEDIAN(Table14[Date of Joining]),Table14[[#This Row],[Date of Joining]])</f>
        <v>42211</v>
      </c>
      <c r="G31" s="20">
        <f>IF(Table14[[#This Row],[Performance Rating]]="",0,Table14[[#This Row],[Performance Rating]])</f>
        <v>5</v>
      </c>
      <c r="H31" s="17" t="s">
        <v>178</v>
      </c>
      <c r="I31" s="21" t="s">
        <v>209</v>
      </c>
    </row>
    <row r="32" spans="1:9" x14ac:dyDescent="0.3">
      <c r="A32" s="16" t="s">
        <v>39</v>
      </c>
      <c r="B32" s="17" t="str">
        <f>IF(Table14[[#This Row],[Name]]="","Unknown",Table14[[#This Row],[Name]])</f>
        <v>Unknown</v>
      </c>
      <c r="C32" s="17" t="str">
        <f>IF(Table14[[#This Row],[Department]]="","Unknown",Table14[[#This Row],[Department]])</f>
        <v>Marketing</v>
      </c>
      <c r="D32" s="17" t="str">
        <f>IF(Table14[[#This Row],[Country]]="","Unknown",Table14[[#This Row],[Country]])</f>
        <v>Unknown</v>
      </c>
      <c r="E32" s="18">
        <v>92259</v>
      </c>
      <c r="F32" s="19">
        <f>IF(Table14[[#This Row],[Date of Joining]]="",MEDIAN(Table14[Date of Joining]),Table14[[#This Row],[Date of Joining]])</f>
        <v>42533</v>
      </c>
      <c r="G32" s="20">
        <f>IF(Table14[[#This Row],[Performance Rating]]="",0,Table14[[#This Row],[Performance Rating]])</f>
        <v>1</v>
      </c>
      <c r="H32" s="17" t="s">
        <v>178</v>
      </c>
      <c r="I32" s="21" t="s">
        <v>210</v>
      </c>
    </row>
    <row r="33" spans="1:9" x14ac:dyDescent="0.3">
      <c r="A33" s="16" t="s">
        <v>40</v>
      </c>
      <c r="B33" s="17" t="str">
        <f>IF(Table14[[#This Row],[Name]]="","Unknown",Table14[[#This Row],[Name]])</f>
        <v>Eve Adams</v>
      </c>
      <c r="C33" s="17" t="str">
        <f>IF(Table14[[#This Row],[Department]]="","Unknown",Table14[[#This Row],[Department]])</f>
        <v>HR</v>
      </c>
      <c r="D33" s="17" t="str">
        <f>IF(Table14[[#This Row],[Country]]="","Unknown",Table14[[#This Row],[Country]])</f>
        <v>Germany</v>
      </c>
      <c r="E33" s="22">
        <v>92299</v>
      </c>
      <c r="F33" s="19">
        <f>IF(Table14[[#This Row],[Date of Joining]]="",MEDIAN(Table14[Date of Joining]),Table14[[#This Row],[Date of Joining]])</f>
        <v>42225</v>
      </c>
      <c r="G33" s="20">
        <f>IF(Table14[[#This Row],[Performance Rating]]="",0,Table14[[#This Row],[Performance Rating]])</f>
        <v>3</v>
      </c>
      <c r="H33" s="17" t="s">
        <v>180</v>
      </c>
      <c r="I33" s="21" t="s">
        <v>211</v>
      </c>
    </row>
    <row r="34" spans="1:9" x14ac:dyDescent="0.3">
      <c r="A34" s="16" t="s">
        <v>41</v>
      </c>
      <c r="B34" s="17" t="str">
        <f>IF(Table14[[#This Row],[Name]]="","Unknown",Table14[[#This Row],[Name]])</f>
        <v>Sam Wilson</v>
      </c>
      <c r="C34" s="17" t="str">
        <f>IF(Table14[[#This Row],[Department]]="","Unknown",Table14[[#This Row],[Department]])</f>
        <v>HR</v>
      </c>
      <c r="D34" s="17" t="str">
        <f>IF(Table14[[#This Row],[Country]]="","Unknown",Table14[[#This Row],[Country]])</f>
        <v>Unknown</v>
      </c>
      <c r="E34" s="18">
        <v>95586</v>
      </c>
      <c r="F34" s="19">
        <f>IF(Table14[[#This Row],[Date of Joining]]="",MEDIAN(Table14[Date of Joining]),Table14[[#This Row],[Date of Joining]])</f>
        <v>42232</v>
      </c>
      <c r="G34" s="20">
        <f>IF(Table14[[#This Row],[Performance Rating]]="",0,Table14[[#This Row],[Performance Rating]])</f>
        <v>3</v>
      </c>
      <c r="H34" s="17" t="s">
        <v>179</v>
      </c>
      <c r="I34" s="21" t="s">
        <v>212</v>
      </c>
    </row>
    <row r="35" spans="1:9" x14ac:dyDescent="0.3">
      <c r="A35" s="16" t="s">
        <v>42</v>
      </c>
      <c r="B35" s="17" t="str">
        <f>IF(Table14[[#This Row],[Name]]="","Unknown",Table14[[#This Row],[Name]])</f>
        <v>Chris Lee</v>
      </c>
      <c r="C35" s="17" t="str">
        <f>IF(Table14[[#This Row],[Department]]="","Unknown",Table14[[#This Row],[Department]])</f>
        <v>Unknown</v>
      </c>
      <c r="D35" s="17" t="str">
        <f>IF(Table14[[#This Row],[Country]]="","Unknown",Table14[[#This Row],[Country]])</f>
        <v>USA</v>
      </c>
      <c r="E35" s="22">
        <v>95367</v>
      </c>
      <c r="F35" s="19">
        <f>IF(Table14[[#This Row],[Date of Joining]]="",MEDIAN(Table14[Date of Joining]),Table14[[#This Row],[Date of Joining]])</f>
        <v>42239</v>
      </c>
      <c r="G35" s="20">
        <f>IF(Table14[[#This Row],[Performance Rating]]="",0,Table14[[#This Row],[Performance Rating]])</f>
        <v>0</v>
      </c>
      <c r="H35" s="17" t="s">
        <v>180</v>
      </c>
      <c r="I35" s="21" t="s">
        <v>213</v>
      </c>
    </row>
    <row r="36" spans="1:9" x14ac:dyDescent="0.3">
      <c r="A36" s="16" t="s">
        <v>43</v>
      </c>
      <c r="B36" s="17" t="str">
        <f>IF(Table14[[#This Row],[Name]]="","Unknown",Table14[[#This Row],[Name]])</f>
        <v>John Doe</v>
      </c>
      <c r="C36" s="17" t="str">
        <f>IF(Table14[[#This Row],[Department]]="","Unknown",Table14[[#This Row],[Department]])</f>
        <v>Sales</v>
      </c>
      <c r="D36" s="17" t="str">
        <f>IF(Table14[[#This Row],[Country]]="","Unknown",Table14[[#This Row],[Country]])</f>
        <v>Australia</v>
      </c>
      <c r="E36" s="18">
        <v>79549</v>
      </c>
      <c r="F36" s="19">
        <f>IF(Table14[[#This Row],[Date of Joining]]="",MEDIAN(Table14[Date of Joining]),Table14[[#This Row],[Date of Joining]])</f>
        <v>42246</v>
      </c>
      <c r="G36" s="20">
        <f>IF(Table14[[#This Row],[Performance Rating]]="",0,Table14[[#This Row],[Performance Rating]])</f>
        <v>3</v>
      </c>
      <c r="H36" s="17" t="s">
        <v>178</v>
      </c>
      <c r="I36" s="21" t="s">
        <v>214</v>
      </c>
    </row>
    <row r="37" spans="1:9" x14ac:dyDescent="0.3">
      <c r="A37" s="16" t="s">
        <v>44</v>
      </c>
      <c r="B37" s="17" t="str">
        <f>IF(Table14[[#This Row],[Name]]="","Unknown",Table14[[#This Row],[Name]])</f>
        <v>Alice Brown</v>
      </c>
      <c r="C37" s="17" t="str">
        <f>IF(Table14[[#This Row],[Department]]="","Unknown",Table14[[#This Row],[Department]])</f>
        <v>Unknown</v>
      </c>
      <c r="D37" s="17" t="str">
        <f>IF(Table14[[#This Row],[Country]]="","Unknown",Table14[[#This Row],[Country]])</f>
        <v>UK</v>
      </c>
      <c r="E37" s="22">
        <v>54463</v>
      </c>
      <c r="F37" s="19">
        <f>IF(Table14[[#This Row],[Date of Joining]]="",MEDIAN(Table14[Date of Joining]),Table14[[#This Row],[Date of Joining]])</f>
        <v>42253</v>
      </c>
      <c r="G37" s="20">
        <f>IF(Table14[[#This Row],[Performance Rating]]="",0,Table14[[#This Row],[Performance Rating]])</f>
        <v>4</v>
      </c>
      <c r="H37" s="17" t="s">
        <v>180</v>
      </c>
      <c r="I37" s="21" t="s">
        <v>178</v>
      </c>
    </row>
    <row r="38" spans="1:9" x14ac:dyDescent="0.3">
      <c r="A38" s="16" t="s">
        <v>45</v>
      </c>
      <c r="B38" s="17" t="str">
        <f>IF(Table14[[#This Row],[Name]]="","Unknown",Table14[[#This Row],[Name]])</f>
        <v>Alice Brown</v>
      </c>
      <c r="C38" s="17" t="str">
        <f>IF(Table14[[#This Row],[Department]]="","Unknown",Table14[[#This Row],[Department]])</f>
        <v>IT</v>
      </c>
      <c r="D38" s="17" t="str">
        <f>IF(Table14[[#This Row],[Country]]="","Unknown",Table14[[#This Row],[Country]])</f>
        <v>USA</v>
      </c>
      <c r="E38" s="18">
        <v>89781</v>
      </c>
      <c r="F38" s="19">
        <f>IF(Table14[[#This Row],[Date of Joining]]="",MEDIAN(Table14[Date of Joining]),Table14[[#This Row],[Date of Joining]])</f>
        <v>42260</v>
      </c>
      <c r="G38" s="20">
        <f>IF(Table14[[#This Row],[Performance Rating]]="",0,Table14[[#This Row],[Performance Rating]])</f>
        <v>0</v>
      </c>
      <c r="H38" s="17" t="s">
        <v>181</v>
      </c>
      <c r="I38" s="21" t="s">
        <v>215</v>
      </c>
    </row>
    <row r="39" spans="1:9" x14ac:dyDescent="0.3">
      <c r="A39" s="16" t="s">
        <v>46</v>
      </c>
      <c r="B39" s="17" t="str">
        <f>IF(Table14[[#This Row],[Name]]="","Unknown",Table14[[#This Row],[Name]])</f>
        <v>Alice Brown</v>
      </c>
      <c r="C39" s="17" t="str">
        <f>IF(Table14[[#This Row],[Department]]="","Unknown",Table14[[#This Row],[Department]])</f>
        <v>HR</v>
      </c>
      <c r="D39" s="17" t="str">
        <f>IF(Table14[[#This Row],[Country]]="","Unknown",Table14[[#This Row],[Country]])</f>
        <v>Unknown</v>
      </c>
      <c r="E39" s="22">
        <v>64796</v>
      </c>
      <c r="F39" s="19">
        <f>IF(Table14[[#This Row],[Date of Joining]]="",MEDIAN(Table14[Date of Joining]),Table14[[#This Row],[Date of Joining]])</f>
        <v>42267</v>
      </c>
      <c r="G39" s="20">
        <f>IF(Table14[[#This Row],[Performance Rating]]="",0,Table14[[#This Row],[Performance Rating]])</f>
        <v>0</v>
      </c>
      <c r="H39" s="17" t="s">
        <v>179</v>
      </c>
      <c r="I39" s="21" t="s">
        <v>216</v>
      </c>
    </row>
    <row r="40" spans="1:9" x14ac:dyDescent="0.3">
      <c r="A40" s="16" t="s">
        <v>47</v>
      </c>
      <c r="B40" s="17" t="str">
        <f>IF(Table14[[#This Row],[Name]]="","Unknown",Table14[[#This Row],[Name]])</f>
        <v>John Doe</v>
      </c>
      <c r="C40" s="17" t="str">
        <f>IF(Table14[[#This Row],[Department]]="","Unknown",Table14[[#This Row],[Department]])</f>
        <v>Marketing</v>
      </c>
      <c r="D40" s="17" t="str">
        <f>IF(Table14[[#This Row],[Country]]="","Unknown",Table14[[#This Row],[Country]])</f>
        <v>UK</v>
      </c>
      <c r="E40" s="18">
        <v>52093</v>
      </c>
      <c r="F40" s="19">
        <f>IF(Table14[[#This Row],[Date of Joining]]="",MEDIAN(Table14[Date of Joining]),Table14[[#This Row],[Date of Joining]])</f>
        <v>42274</v>
      </c>
      <c r="G40" s="20">
        <f>IF(Table14[[#This Row],[Performance Rating]]="",0,Table14[[#This Row],[Performance Rating]])</f>
        <v>5</v>
      </c>
      <c r="H40" s="17" t="s">
        <v>178</v>
      </c>
      <c r="I40" s="21" t="s">
        <v>217</v>
      </c>
    </row>
    <row r="41" spans="1:9" x14ac:dyDescent="0.3">
      <c r="A41" s="16" t="s">
        <v>48</v>
      </c>
      <c r="B41" s="17" t="str">
        <f>IF(Table14[[#This Row],[Name]]="","Unknown",Table14[[#This Row],[Name]])</f>
        <v>Chris Lee</v>
      </c>
      <c r="C41" s="17" t="str">
        <f>IF(Table14[[#This Row],[Department]]="","Unknown",Table14[[#This Row],[Department]])</f>
        <v>HR</v>
      </c>
      <c r="D41" s="17" t="str">
        <f>IF(Table14[[#This Row],[Country]]="","Unknown",Table14[[#This Row],[Country]])</f>
        <v>UK</v>
      </c>
      <c r="E41" s="22">
        <v>48224</v>
      </c>
      <c r="F41" s="19">
        <f>IF(Table14[[#This Row],[Date of Joining]]="",MEDIAN(Table14[Date of Joining]),Table14[[#This Row],[Date of Joining]])</f>
        <v>42281</v>
      </c>
      <c r="G41" s="20">
        <f>IF(Table14[[#This Row],[Performance Rating]]="",0,Table14[[#This Row],[Performance Rating]])</f>
        <v>3</v>
      </c>
      <c r="H41" s="17" t="s">
        <v>178</v>
      </c>
      <c r="I41" s="21" t="s">
        <v>218</v>
      </c>
    </row>
    <row r="42" spans="1:9" x14ac:dyDescent="0.3">
      <c r="A42" s="16" t="s">
        <v>49</v>
      </c>
      <c r="B42" s="17" t="str">
        <f>IF(Table14[[#This Row],[Name]]="","Unknown",Table14[[#This Row],[Name]])</f>
        <v>Bob Johnson</v>
      </c>
      <c r="C42" s="17" t="str">
        <f>IF(Table14[[#This Row],[Department]]="","Unknown",Table14[[#This Row],[Department]])</f>
        <v>Finance</v>
      </c>
      <c r="D42" s="17" t="str">
        <f>IF(Table14[[#This Row],[Country]]="","Unknown",Table14[[#This Row],[Country]])</f>
        <v>UK</v>
      </c>
      <c r="E42" s="18">
        <v>65604.55</v>
      </c>
      <c r="F42" s="19">
        <f>IF(Table14[[#This Row],[Date of Joining]]="",MEDIAN(Table14[Date of Joining]),Table14[[#This Row],[Date of Joining]])</f>
        <v>42533</v>
      </c>
      <c r="G42" s="20">
        <f>IF(Table14[[#This Row],[Performance Rating]]="",0,Table14[[#This Row],[Performance Rating]])</f>
        <v>4</v>
      </c>
      <c r="H42" s="17" t="s">
        <v>181</v>
      </c>
      <c r="I42" s="21" t="s">
        <v>219</v>
      </c>
    </row>
    <row r="43" spans="1:9" x14ac:dyDescent="0.3">
      <c r="A43" s="16" t="s">
        <v>50</v>
      </c>
      <c r="B43" s="17" t="str">
        <f>IF(Table14[[#This Row],[Name]]="","Unknown",Table14[[#This Row],[Name]])</f>
        <v>Alice Brown</v>
      </c>
      <c r="C43" s="17" t="str">
        <f>IF(Table14[[#This Row],[Department]]="","Unknown",Table14[[#This Row],[Department]])</f>
        <v>IT</v>
      </c>
      <c r="D43" s="17" t="str">
        <f>IF(Table14[[#This Row],[Country]]="","Unknown",Table14[[#This Row],[Country]])</f>
        <v>Germany</v>
      </c>
      <c r="E43" s="22">
        <v>33956</v>
      </c>
      <c r="F43" s="19">
        <f>IF(Table14[[#This Row],[Date of Joining]]="",MEDIAN(Table14[Date of Joining]),Table14[[#This Row],[Date of Joining]])</f>
        <v>42295</v>
      </c>
      <c r="G43" s="20">
        <f>IF(Table14[[#This Row],[Performance Rating]]="",0,Table14[[#This Row],[Performance Rating]])</f>
        <v>0</v>
      </c>
      <c r="H43" s="17" t="s">
        <v>178</v>
      </c>
      <c r="I43" s="21" t="s">
        <v>220</v>
      </c>
    </row>
    <row r="44" spans="1:9" x14ac:dyDescent="0.3">
      <c r="A44" s="16" t="s">
        <v>51</v>
      </c>
      <c r="B44" s="17" t="str">
        <f>IF(Table14[[#This Row],[Name]]="","Unknown",Table14[[#This Row],[Name]])</f>
        <v>Bob Johnson</v>
      </c>
      <c r="C44" s="17" t="str">
        <f>IF(Table14[[#This Row],[Department]]="","Unknown",Table14[[#This Row],[Department]])</f>
        <v>Unknown</v>
      </c>
      <c r="D44" s="17" t="str">
        <f>IF(Table14[[#This Row],[Country]]="","Unknown",Table14[[#This Row],[Country]])</f>
        <v>Australia</v>
      </c>
      <c r="E44" s="18">
        <v>64913</v>
      </c>
      <c r="F44" s="19">
        <f>IF(Table14[[#This Row],[Date of Joining]]="",MEDIAN(Table14[Date of Joining]),Table14[[#This Row],[Date of Joining]])</f>
        <v>42302</v>
      </c>
      <c r="G44" s="20">
        <f>IF(Table14[[#This Row],[Performance Rating]]="",0,Table14[[#This Row],[Performance Rating]])</f>
        <v>1</v>
      </c>
      <c r="H44" s="17" t="s">
        <v>181</v>
      </c>
      <c r="I44" s="21" t="s">
        <v>221</v>
      </c>
    </row>
    <row r="45" spans="1:9" x14ac:dyDescent="0.3">
      <c r="A45" s="16" t="s">
        <v>52</v>
      </c>
      <c r="B45" s="17" t="str">
        <f>IF(Table14[[#This Row],[Name]]="","Unknown",Table14[[#This Row],[Name]])</f>
        <v>Alice Brown</v>
      </c>
      <c r="C45" s="17" t="str">
        <f>IF(Table14[[#This Row],[Department]]="","Unknown",Table14[[#This Row],[Department]])</f>
        <v>Marketing</v>
      </c>
      <c r="D45" s="17" t="str">
        <f>IF(Table14[[#This Row],[Country]]="","Unknown",Table14[[#This Row],[Country]])</f>
        <v>Australia</v>
      </c>
      <c r="E45" s="22">
        <v>35326</v>
      </c>
      <c r="F45" s="19">
        <f>IF(Table14[[#This Row],[Date of Joining]]="",MEDIAN(Table14[Date of Joining]),Table14[[#This Row],[Date of Joining]])</f>
        <v>42309</v>
      </c>
      <c r="G45" s="20">
        <f>IF(Table14[[#This Row],[Performance Rating]]="",0,Table14[[#This Row],[Performance Rating]])</f>
        <v>0</v>
      </c>
      <c r="H45" s="17" t="s">
        <v>181</v>
      </c>
      <c r="I45" s="21" t="s">
        <v>222</v>
      </c>
    </row>
    <row r="46" spans="1:9" x14ac:dyDescent="0.3">
      <c r="A46" s="16" t="s">
        <v>53</v>
      </c>
      <c r="B46" s="17" t="str">
        <f>IF(Table14[[#This Row],[Name]]="","Unknown",Table14[[#This Row],[Name]])</f>
        <v>Chris Lee</v>
      </c>
      <c r="C46" s="17" t="str">
        <f>IF(Table14[[#This Row],[Department]]="","Unknown",Table14[[#This Row],[Department]])</f>
        <v>Finance</v>
      </c>
      <c r="D46" s="17" t="str">
        <f>IF(Table14[[#This Row],[Country]]="","Unknown",Table14[[#This Row],[Country]])</f>
        <v>Unknown</v>
      </c>
      <c r="E46" s="18">
        <v>81610</v>
      </c>
      <c r="F46" s="19">
        <f>IF(Table14[[#This Row],[Date of Joining]]="",MEDIAN(Table14[Date of Joining]),Table14[[#This Row],[Date of Joining]])</f>
        <v>42316</v>
      </c>
      <c r="G46" s="20">
        <f>IF(Table14[[#This Row],[Performance Rating]]="",0,Table14[[#This Row],[Performance Rating]])</f>
        <v>1</v>
      </c>
      <c r="H46" s="17" t="s">
        <v>178</v>
      </c>
      <c r="I46" s="21" t="s">
        <v>223</v>
      </c>
    </row>
    <row r="47" spans="1:9" x14ac:dyDescent="0.3">
      <c r="A47" s="16" t="s">
        <v>54</v>
      </c>
      <c r="B47" s="17" t="str">
        <f>IF(Table14[[#This Row],[Name]]="","Unknown",Table14[[#This Row],[Name]])</f>
        <v>Unknown</v>
      </c>
      <c r="C47" s="17" t="str">
        <f>IF(Table14[[#This Row],[Department]]="","Unknown",Table14[[#This Row],[Department]])</f>
        <v>HR</v>
      </c>
      <c r="D47" s="17" t="str">
        <f>IF(Table14[[#This Row],[Country]]="","Unknown",Table14[[#This Row],[Country]])</f>
        <v>Unknown</v>
      </c>
      <c r="E47" s="22">
        <v>58962</v>
      </c>
      <c r="F47" s="19">
        <f>IF(Table14[[#This Row],[Date of Joining]]="",MEDIAN(Table14[Date of Joining]),Table14[[#This Row],[Date of Joining]])</f>
        <v>42323</v>
      </c>
      <c r="G47" s="20">
        <f>IF(Table14[[#This Row],[Performance Rating]]="",0,Table14[[#This Row],[Performance Rating]])</f>
        <v>3</v>
      </c>
      <c r="H47" s="17" t="s">
        <v>179</v>
      </c>
      <c r="I47" s="21" t="s">
        <v>183</v>
      </c>
    </row>
    <row r="48" spans="1:9" x14ac:dyDescent="0.3">
      <c r="A48" s="16" t="s">
        <v>55</v>
      </c>
      <c r="B48" s="17" t="str">
        <f>IF(Table14[[#This Row],[Name]]="","Unknown",Table14[[#This Row],[Name]])</f>
        <v>Chris Lee</v>
      </c>
      <c r="C48" s="17" t="str">
        <f>IF(Table14[[#This Row],[Department]]="","Unknown",Table14[[#This Row],[Department]])</f>
        <v>IT</v>
      </c>
      <c r="D48" s="17" t="str">
        <f>IF(Table14[[#This Row],[Country]]="","Unknown",Table14[[#This Row],[Country]])</f>
        <v>Germany</v>
      </c>
      <c r="E48" s="18">
        <v>92701</v>
      </c>
      <c r="F48" s="19">
        <f>IF(Table14[[#This Row],[Date of Joining]]="",MEDIAN(Table14[Date of Joining]),Table14[[#This Row],[Date of Joining]])</f>
        <v>42330</v>
      </c>
      <c r="G48" s="20">
        <f>IF(Table14[[#This Row],[Performance Rating]]="",0,Table14[[#This Row],[Performance Rating]])</f>
        <v>3</v>
      </c>
      <c r="H48" s="17" t="s">
        <v>179</v>
      </c>
      <c r="I48" s="21" t="s">
        <v>224</v>
      </c>
    </row>
    <row r="49" spans="1:9" x14ac:dyDescent="0.3">
      <c r="A49" s="16" t="s">
        <v>56</v>
      </c>
      <c r="B49" s="17" t="str">
        <f>IF(Table14[[#This Row],[Name]]="","Unknown",Table14[[#This Row],[Name]])</f>
        <v>Chris Lee</v>
      </c>
      <c r="C49" s="17" t="str">
        <f>IF(Table14[[#This Row],[Department]]="","Unknown",Table14[[#This Row],[Department]])</f>
        <v>HR</v>
      </c>
      <c r="D49" s="17" t="str">
        <f>IF(Table14[[#This Row],[Country]]="","Unknown",Table14[[#This Row],[Country]])</f>
        <v>India</v>
      </c>
      <c r="E49" s="22">
        <v>58245</v>
      </c>
      <c r="F49" s="19">
        <f>IF(Table14[[#This Row],[Date of Joining]]="",MEDIAN(Table14[Date of Joining]),Table14[[#This Row],[Date of Joining]])</f>
        <v>42337</v>
      </c>
      <c r="G49" s="20">
        <f>IF(Table14[[#This Row],[Performance Rating]]="",0,Table14[[#This Row],[Performance Rating]])</f>
        <v>4</v>
      </c>
      <c r="H49" s="17" t="s">
        <v>178</v>
      </c>
      <c r="I49" s="21" t="s">
        <v>225</v>
      </c>
    </row>
    <row r="50" spans="1:9" x14ac:dyDescent="0.3">
      <c r="A50" s="16" t="s">
        <v>57</v>
      </c>
      <c r="B50" s="17" t="str">
        <f>IF(Table14[[#This Row],[Name]]="","Unknown",Table14[[#This Row],[Name]])</f>
        <v>John Doe</v>
      </c>
      <c r="C50" s="17" t="str">
        <f>IF(Table14[[#This Row],[Department]]="","Unknown",Table14[[#This Row],[Department]])</f>
        <v>Finance</v>
      </c>
      <c r="D50" s="17" t="str">
        <f>IF(Table14[[#This Row],[Country]]="","Unknown",Table14[[#This Row],[Country]])</f>
        <v>Unknown</v>
      </c>
      <c r="E50" s="18">
        <v>66513</v>
      </c>
      <c r="F50" s="19">
        <f>IF(Table14[[#This Row],[Date of Joining]]="",MEDIAN(Table14[Date of Joining]),Table14[[#This Row],[Date of Joining]])</f>
        <v>42344</v>
      </c>
      <c r="G50" s="20">
        <f>IF(Table14[[#This Row],[Performance Rating]]="",0,Table14[[#This Row],[Performance Rating]])</f>
        <v>2</v>
      </c>
      <c r="H50" s="17" t="s">
        <v>179</v>
      </c>
      <c r="I50" s="21" t="s">
        <v>187</v>
      </c>
    </row>
    <row r="51" spans="1:9" x14ac:dyDescent="0.3">
      <c r="A51" s="16" t="s">
        <v>58</v>
      </c>
      <c r="B51" s="17" t="str">
        <f>IF(Table14[[#This Row],[Name]]="","Unknown",Table14[[#This Row],[Name]])</f>
        <v>Eve Adams</v>
      </c>
      <c r="C51" s="17" t="str">
        <f>IF(Table14[[#This Row],[Department]]="","Unknown",Table14[[#This Row],[Department]])</f>
        <v>HR</v>
      </c>
      <c r="D51" s="17" t="str">
        <f>IF(Table14[[#This Row],[Country]]="","Unknown",Table14[[#This Row],[Country]])</f>
        <v>Germany</v>
      </c>
      <c r="E51" s="22">
        <v>78720</v>
      </c>
      <c r="F51" s="19">
        <f>IF(Table14[[#This Row],[Date of Joining]]="",MEDIAN(Table14[Date of Joining]),Table14[[#This Row],[Date of Joining]])</f>
        <v>42351</v>
      </c>
      <c r="G51" s="20">
        <f>IF(Table14[[#This Row],[Performance Rating]]="",0,Table14[[#This Row],[Performance Rating]])</f>
        <v>5</v>
      </c>
      <c r="H51" s="17" t="s">
        <v>181</v>
      </c>
      <c r="I51" s="21" t="s">
        <v>219</v>
      </c>
    </row>
    <row r="52" spans="1:9" x14ac:dyDescent="0.3">
      <c r="A52" s="16" t="s">
        <v>59</v>
      </c>
      <c r="B52" s="17" t="str">
        <f>IF(Table14[[#This Row],[Name]]="","Unknown",Table14[[#This Row],[Name]])</f>
        <v>Chris Lee</v>
      </c>
      <c r="C52" s="17" t="str">
        <f>IF(Table14[[#This Row],[Department]]="","Unknown",Table14[[#This Row],[Department]])</f>
        <v>Unknown</v>
      </c>
      <c r="D52" s="17" t="str">
        <f>IF(Table14[[#This Row],[Country]]="","Unknown",Table14[[#This Row],[Country]])</f>
        <v>Unknown</v>
      </c>
      <c r="E52" s="18">
        <v>30686</v>
      </c>
      <c r="F52" s="19">
        <f>IF(Table14[[#This Row],[Date of Joining]]="",MEDIAN(Table14[Date of Joining]),Table14[[#This Row],[Date of Joining]])</f>
        <v>42533</v>
      </c>
      <c r="G52" s="20">
        <f>IF(Table14[[#This Row],[Performance Rating]]="",0,Table14[[#This Row],[Performance Rating]])</f>
        <v>2</v>
      </c>
      <c r="H52" s="17" t="s">
        <v>181</v>
      </c>
      <c r="I52" s="21" t="s">
        <v>226</v>
      </c>
    </row>
    <row r="53" spans="1:9" x14ac:dyDescent="0.3">
      <c r="A53" s="16" t="s">
        <v>60</v>
      </c>
      <c r="B53" s="17" t="str">
        <f>IF(Table14[[#This Row],[Name]]="","Unknown",Table14[[#This Row],[Name]])</f>
        <v>Sam Wilson</v>
      </c>
      <c r="C53" s="17" t="str">
        <f>IF(Table14[[#This Row],[Department]]="","Unknown",Table14[[#This Row],[Department]])</f>
        <v>Sales</v>
      </c>
      <c r="D53" s="17" t="str">
        <f>IF(Table14[[#This Row],[Country]]="","Unknown",Table14[[#This Row],[Country]])</f>
        <v>India</v>
      </c>
      <c r="E53" s="22">
        <v>39423</v>
      </c>
      <c r="F53" s="19">
        <f>IF(Table14[[#This Row],[Date of Joining]]="",MEDIAN(Table14[Date of Joining]),Table14[[#This Row],[Date of Joining]])</f>
        <v>42365</v>
      </c>
      <c r="G53" s="20">
        <f>IF(Table14[[#This Row],[Performance Rating]]="",0,Table14[[#This Row],[Performance Rating]])</f>
        <v>5</v>
      </c>
      <c r="H53" s="17" t="s">
        <v>178</v>
      </c>
      <c r="I53" s="21" t="s">
        <v>227</v>
      </c>
    </row>
    <row r="54" spans="1:9" x14ac:dyDescent="0.3">
      <c r="A54" s="16" t="s">
        <v>61</v>
      </c>
      <c r="B54" s="17" t="str">
        <f>IF(Table14[[#This Row],[Name]]="","Unknown",Table14[[#This Row],[Name]])</f>
        <v>Eve Adams</v>
      </c>
      <c r="C54" s="17" t="str">
        <f>IF(Table14[[#This Row],[Department]]="","Unknown",Table14[[#This Row],[Department]])</f>
        <v>Marketing</v>
      </c>
      <c r="D54" s="17" t="str">
        <f>IF(Table14[[#This Row],[Country]]="","Unknown",Table14[[#This Row],[Country]])</f>
        <v>Unknown</v>
      </c>
      <c r="E54" s="18">
        <v>30280</v>
      </c>
      <c r="F54" s="19">
        <f>IF(Table14[[#This Row],[Date of Joining]]="",MEDIAN(Table14[Date of Joining]),Table14[[#This Row],[Date of Joining]])</f>
        <v>42372</v>
      </c>
      <c r="G54" s="20">
        <f>IF(Table14[[#This Row],[Performance Rating]]="",0,Table14[[#This Row],[Performance Rating]])</f>
        <v>1</v>
      </c>
      <c r="H54" s="17" t="s">
        <v>178</v>
      </c>
      <c r="I54" s="21" t="s">
        <v>228</v>
      </c>
    </row>
    <row r="55" spans="1:9" x14ac:dyDescent="0.3">
      <c r="A55" s="16" t="s">
        <v>62</v>
      </c>
      <c r="B55" s="17" t="str">
        <f>IF(Table14[[#This Row],[Name]]="","Unknown",Table14[[#This Row],[Name]])</f>
        <v>Eve Adams</v>
      </c>
      <c r="C55" s="17" t="str">
        <f>IF(Table14[[#This Row],[Department]]="","Unknown",Table14[[#This Row],[Department]])</f>
        <v>Finance</v>
      </c>
      <c r="D55" s="17" t="str">
        <f>IF(Table14[[#This Row],[Country]]="","Unknown",Table14[[#This Row],[Country]])</f>
        <v>UK</v>
      </c>
      <c r="E55" s="22">
        <v>33352</v>
      </c>
      <c r="F55" s="19">
        <f>IF(Table14[[#This Row],[Date of Joining]]="",MEDIAN(Table14[Date of Joining]),Table14[[#This Row],[Date of Joining]])</f>
        <v>42379</v>
      </c>
      <c r="G55" s="20">
        <f>IF(Table14[[#This Row],[Performance Rating]]="",0,Table14[[#This Row],[Performance Rating]])</f>
        <v>3</v>
      </c>
      <c r="H55" s="17" t="s">
        <v>181</v>
      </c>
      <c r="I55" s="21" t="s">
        <v>200</v>
      </c>
    </row>
    <row r="56" spans="1:9" x14ac:dyDescent="0.3">
      <c r="A56" s="16" t="s">
        <v>63</v>
      </c>
      <c r="B56" s="17" t="str">
        <f>IF(Table14[[#This Row],[Name]]="","Unknown",Table14[[#This Row],[Name]])</f>
        <v>Bob Johnson</v>
      </c>
      <c r="C56" s="17" t="str">
        <f>IF(Table14[[#This Row],[Department]]="","Unknown",Table14[[#This Row],[Department]])</f>
        <v>Marketing</v>
      </c>
      <c r="D56" s="17" t="str">
        <f>IF(Table14[[#This Row],[Country]]="","Unknown",Table14[[#This Row],[Country]])</f>
        <v>UK</v>
      </c>
      <c r="E56" s="18">
        <v>75633</v>
      </c>
      <c r="F56" s="19">
        <f>IF(Table14[[#This Row],[Date of Joining]]="",MEDIAN(Table14[Date of Joining]),Table14[[#This Row],[Date of Joining]])</f>
        <v>42386</v>
      </c>
      <c r="G56" s="20">
        <f>IF(Table14[[#This Row],[Performance Rating]]="",0,Table14[[#This Row],[Performance Rating]])</f>
        <v>5</v>
      </c>
      <c r="H56" s="17" t="s">
        <v>179</v>
      </c>
      <c r="I56" s="21" t="s">
        <v>229</v>
      </c>
    </row>
    <row r="57" spans="1:9" x14ac:dyDescent="0.3">
      <c r="A57" s="16" t="s">
        <v>64</v>
      </c>
      <c r="B57" s="17" t="str">
        <f>IF(Table14[[#This Row],[Name]]="","Unknown",Table14[[#This Row],[Name]])</f>
        <v>Chris Lee</v>
      </c>
      <c r="C57" s="17" t="str">
        <f>IF(Table14[[#This Row],[Department]]="","Unknown",Table14[[#This Row],[Department]])</f>
        <v>Unknown</v>
      </c>
      <c r="D57" s="17" t="str">
        <f>IF(Table14[[#This Row],[Country]]="","Unknown",Table14[[#This Row],[Country]])</f>
        <v>USA</v>
      </c>
      <c r="E57" s="22">
        <v>74815</v>
      </c>
      <c r="F57" s="19">
        <f>IF(Table14[[#This Row],[Date of Joining]]="",MEDIAN(Table14[Date of Joining]),Table14[[#This Row],[Date of Joining]])</f>
        <v>42393</v>
      </c>
      <c r="G57" s="20">
        <f>IF(Table14[[#This Row],[Performance Rating]]="",0,Table14[[#This Row],[Performance Rating]])</f>
        <v>5</v>
      </c>
      <c r="H57" s="17" t="s">
        <v>181</v>
      </c>
      <c r="I57" s="21" t="s">
        <v>230</v>
      </c>
    </row>
    <row r="58" spans="1:9" x14ac:dyDescent="0.3">
      <c r="A58" s="16" t="s">
        <v>65</v>
      </c>
      <c r="B58" s="17" t="str">
        <f>IF(Table14[[#This Row],[Name]]="","Unknown",Table14[[#This Row],[Name]])</f>
        <v>John Doe</v>
      </c>
      <c r="C58" s="17" t="str">
        <f>IF(Table14[[#This Row],[Department]]="","Unknown",Table14[[#This Row],[Department]])</f>
        <v>Sales</v>
      </c>
      <c r="D58" s="17" t="str">
        <f>IF(Table14[[#This Row],[Country]]="","Unknown",Table14[[#This Row],[Country]])</f>
        <v>Australia</v>
      </c>
      <c r="E58" s="18">
        <v>60011</v>
      </c>
      <c r="F58" s="19">
        <f>IF(Table14[[#This Row],[Date of Joining]]="",MEDIAN(Table14[Date of Joining]),Table14[[#This Row],[Date of Joining]])</f>
        <v>42400</v>
      </c>
      <c r="G58" s="20">
        <f>IF(Table14[[#This Row],[Performance Rating]]="",0,Table14[[#This Row],[Performance Rating]])</f>
        <v>1</v>
      </c>
      <c r="H58" s="17" t="s">
        <v>180</v>
      </c>
      <c r="I58" s="21" t="s">
        <v>231</v>
      </c>
    </row>
    <row r="59" spans="1:9" x14ac:dyDescent="0.3">
      <c r="A59" s="16" t="s">
        <v>66</v>
      </c>
      <c r="B59" s="17" t="str">
        <f>IF(Table14[[#This Row],[Name]]="","Unknown",Table14[[#This Row],[Name]])</f>
        <v>Eve Adams</v>
      </c>
      <c r="C59" s="17" t="str">
        <f>IF(Table14[[#This Row],[Department]]="","Unknown",Table14[[#This Row],[Department]])</f>
        <v>Unknown</v>
      </c>
      <c r="D59" s="17" t="str">
        <f>IF(Table14[[#This Row],[Country]]="","Unknown",Table14[[#This Row],[Country]])</f>
        <v>India</v>
      </c>
      <c r="E59" s="22">
        <v>96949</v>
      </c>
      <c r="F59" s="19">
        <f>IF(Table14[[#This Row],[Date of Joining]]="",MEDIAN(Table14[Date of Joining]),Table14[[#This Row],[Date of Joining]])</f>
        <v>42407</v>
      </c>
      <c r="G59" s="20">
        <f>IF(Table14[[#This Row],[Performance Rating]]="",0,Table14[[#This Row],[Performance Rating]])</f>
        <v>3</v>
      </c>
      <c r="H59" s="17" t="s">
        <v>178</v>
      </c>
      <c r="I59" s="21" t="s">
        <v>207</v>
      </c>
    </row>
    <row r="60" spans="1:9" x14ac:dyDescent="0.3">
      <c r="A60" s="16" t="s">
        <v>67</v>
      </c>
      <c r="B60" s="17" t="str">
        <f>IF(Table14[[#This Row],[Name]]="","Unknown",Table14[[#This Row],[Name]])</f>
        <v>Sam Wilson</v>
      </c>
      <c r="C60" s="17" t="str">
        <f>IF(Table14[[#This Row],[Department]]="","Unknown",Table14[[#This Row],[Department]])</f>
        <v>Marketing</v>
      </c>
      <c r="D60" s="17" t="str">
        <f>IF(Table14[[#This Row],[Country]]="","Unknown",Table14[[#This Row],[Country]])</f>
        <v>Unknown</v>
      </c>
      <c r="E60" s="18">
        <v>84924</v>
      </c>
      <c r="F60" s="19">
        <f>IF(Table14[[#This Row],[Date of Joining]]="",MEDIAN(Table14[Date of Joining]),Table14[[#This Row],[Date of Joining]])</f>
        <v>42414</v>
      </c>
      <c r="G60" s="20">
        <f>IF(Table14[[#This Row],[Performance Rating]]="",0,Table14[[#This Row],[Performance Rating]])</f>
        <v>5</v>
      </c>
      <c r="H60" s="17" t="s">
        <v>180</v>
      </c>
      <c r="I60" s="21" t="s">
        <v>232</v>
      </c>
    </row>
    <row r="61" spans="1:9" x14ac:dyDescent="0.3">
      <c r="A61" s="16" t="s">
        <v>68</v>
      </c>
      <c r="B61" s="17" t="str">
        <f>IF(Table14[[#This Row],[Name]]="","Unknown",Table14[[#This Row],[Name]])</f>
        <v>Sam Wilson</v>
      </c>
      <c r="C61" s="17" t="str">
        <f>IF(Table14[[#This Row],[Department]]="","Unknown",Table14[[#This Row],[Department]])</f>
        <v>Finance</v>
      </c>
      <c r="D61" s="17" t="str">
        <f>IF(Table14[[#This Row],[Country]]="","Unknown",Table14[[#This Row],[Country]])</f>
        <v>USA</v>
      </c>
      <c r="E61" s="22">
        <v>82033</v>
      </c>
      <c r="F61" s="19">
        <f>IF(Table14[[#This Row],[Date of Joining]]="",MEDIAN(Table14[Date of Joining]),Table14[[#This Row],[Date of Joining]])</f>
        <v>42421</v>
      </c>
      <c r="G61" s="20">
        <f>IF(Table14[[#This Row],[Performance Rating]]="",0,Table14[[#This Row],[Performance Rating]])</f>
        <v>1</v>
      </c>
      <c r="H61" s="17" t="s">
        <v>178</v>
      </c>
      <c r="I61" s="21" t="s">
        <v>223</v>
      </c>
    </row>
    <row r="62" spans="1:9" x14ac:dyDescent="0.3">
      <c r="A62" s="16" t="s">
        <v>69</v>
      </c>
      <c r="B62" s="17" t="str">
        <f>IF(Table14[[#This Row],[Name]]="","Unknown",Table14[[#This Row],[Name]])</f>
        <v>Unknown</v>
      </c>
      <c r="C62" s="17" t="str">
        <f>IF(Table14[[#This Row],[Department]]="","Unknown",Table14[[#This Row],[Department]])</f>
        <v>Marketing</v>
      </c>
      <c r="D62" s="17" t="str">
        <f>IF(Table14[[#This Row],[Country]]="","Unknown",Table14[[#This Row],[Country]])</f>
        <v>Germany</v>
      </c>
      <c r="E62" s="18">
        <v>63686.692307692305</v>
      </c>
      <c r="F62" s="19">
        <f>IF(Table14[[#This Row],[Date of Joining]]="",MEDIAN(Table14[Date of Joining]),Table14[[#This Row],[Date of Joining]])</f>
        <v>42533</v>
      </c>
      <c r="G62" s="20">
        <f>IF(Table14[[#This Row],[Performance Rating]]="",0,Table14[[#This Row],[Performance Rating]])</f>
        <v>5</v>
      </c>
      <c r="H62" s="17" t="s">
        <v>178</v>
      </c>
      <c r="I62" s="21" t="s">
        <v>233</v>
      </c>
    </row>
    <row r="63" spans="1:9" x14ac:dyDescent="0.3">
      <c r="A63" s="16" t="s">
        <v>70</v>
      </c>
      <c r="B63" s="17" t="str">
        <f>IF(Table14[[#This Row],[Name]]="","Unknown",Table14[[#This Row],[Name]])</f>
        <v>Eve Adams</v>
      </c>
      <c r="C63" s="17" t="str">
        <f>IF(Table14[[#This Row],[Department]]="","Unknown",Table14[[#This Row],[Department]])</f>
        <v>Unknown</v>
      </c>
      <c r="D63" s="17" t="str">
        <f>IF(Table14[[#This Row],[Country]]="","Unknown",Table14[[#This Row],[Country]])</f>
        <v>Australia</v>
      </c>
      <c r="E63" s="22">
        <v>31499</v>
      </c>
      <c r="F63" s="19">
        <f>IF(Table14[[#This Row],[Date of Joining]]="",MEDIAN(Table14[Date of Joining]),Table14[[#This Row],[Date of Joining]])</f>
        <v>42435</v>
      </c>
      <c r="G63" s="20">
        <f>IF(Table14[[#This Row],[Performance Rating]]="",0,Table14[[#This Row],[Performance Rating]])</f>
        <v>2</v>
      </c>
      <c r="H63" s="17" t="s">
        <v>178</v>
      </c>
      <c r="I63" s="21" t="s">
        <v>215</v>
      </c>
    </row>
    <row r="64" spans="1:9" x14ac:dyDescent="0.3">
      <c r="A64" s="16" t="s">
        <v>71</v>
      </c>
      <c r="B64" s="17" t="str">
        <f>IF(Table14[[#This Row],[Name]]="","Unknown",Table14[[#This Row],[Name]])</f>
        <v>Chris Lee</v>
      </c>
      <c r="C64" s="17" t="str">
        <f>IF(Table14[[#This Row],[Department]]="","Unknown",Table14[[#This Row],[Department]])</f>
        <v>IT</v>
      </c>
      <c r="D64" s="17" t="str">
        <f>IF(Table14[[#This Row],[Country]]="","Unknown",Table14[[#This Row],[Country]])</f>
        <v>UK</v>
      </c>
      <c r="E64" s="18">
        <v>97981</v>
      </c>
      <c r="F64" s="19">
        <f>IF(Table14[[#This Row],[Date of Joining]]="",MEDIAN(Table14[Date of Joining]),Table14[[#This Row],[Date of Joining]])</f>
        <v>42442</v>
      </c>
      <c r="G64" s="20">
        <f>IF(Table14[[#This Row],[Performance Rating]]="",0,Table14[[#This Row],[Performance Rating]])</f>
        <v>5</v>
      </c>
      <c r="H64" s="17" t="s">
        <v>181</v>
      </c>
      <c r="I64" s="21" t="s">
        <v>234</v>
      </c>
    </row>
    <row r="65" spans="1:9" x14ac:dyDescent="0.3">
      <c r="A65" s="16" t="s">
        <v>72</v>
      </c>
      <c r="B65" s="17" t="str">
        <f>IF(Table14[[#This Row],[Name]]="","Unknown",Table14[[#This Row],[Name]])</f>
        <v>Eve Adams</v>
      </c>
      <c r="C65" s="17" t="str">
        <f>IF(Table14[[#This Row],[Department]]="","Unknown",Table14[[#This Row],[Department]])</f>
        <v>HR</v>
      </c>
      <c r="D65" s="17" t="str">
        <f>IF(Table14[[#This Row],[Country]]="","Unknown",Table14[[#This Row],[Country]])</f>
        <v>USA</v>
      </c>
      <c r="E65" s="22">
        <v>36541</v>
      </c>
      <c r="F65" s="19">
        <f>IF(Table14[[#This Row],[Date of Joining]]="",MEDIAN(Table14[Date of Joining]),Table14[[#This Row],[Date of Joining]])</f>
        <v>42449</v>
      </c>
      <c r="G65" s="20">
        <f>IF(Table14[[#This Row],[Performance Rating]]="",0,Table14[[#This Row],[Performance Rating]])</f>
        <v>2</v>
      </c>
      <c r="H65" s="17" t="s">
        <v>179</v>
      </c>
      <c r="I65" s="21" t="s">
        <v>235</v>
      </c>
    </row>
    <row r="66" spans="1:9" x14ac:dyDescent="0.3">
      <c r="A66" s="16" t="s">
        <v>73</v>
      </c>
      <c r="B66" s="17" t="str">
        <f>IF(Table14[[#This Row],[Name]]="","Unknown",Table14[[#This Row],[Name]])</f>
        <v>John Doe</v>
      </c>
      <c r="C66" s="17" t="str">
        <f>IF(Table14[[#This Row],[Department]]="","Unknown",Table14[[#This Row],[Department]])</f>
        <v>IT</v>
      </c>
      <c r="D66" s="17" t="str">
        <f>IF(Table14[[#This Row],[Country]]="","Unknown",Table14[[#This Row],[Country]])</f>
        <v>India</v>
      </c>
      <c r="E66" s="18">
        <v>84737</v>
      </c>
      <c r="F66" s="19">
        <f>IF(Table14[[#This Row],[Date of Joining]]="",MEDIAN(Table14[Date of Joining]),Table14[[#This Row],[Date of Joining]])</f>
        <v>42456</v>
      </c>
      <c r="G66" s="20">
        <f>IF(Table14[[#This Row],[Performance Rating]]="",0,Table14[[#This Row],[Performance Rating]])</f>
        <v>1</v>
      </c>
      <c r="H66" s="17" t="s">
        <v>180</v>
      </c>
      <c r="I66" s="21" t="s">
        <v>236</v>
      </c>
    </row>
    <row r="67" spans="1:9" x14ac:dyDescent="0.3">
      <c r="A67" s="16" t="s">
        <v>74</v>
      </c>
      <c r="B67" s="17" t="str">
        <f>IF(Table14[[#This Row],[Name]]="","Unknown",Table14[[#This Row],[Name]])</f>
        <v>Sam Wilson</v>
      </c>
      <c r="C67" s="17" t="str">
        <f>IF(Table14[[#This Row],[Department]]="","Unknown",Table14[[#This Row],[Department]])</f>
        <v>Finance</v>
      </c>
      <c r="D67" s="17" t="str">
        <f>IF(Table14[[#This Row],[Country]]="","Unknown",Table14[[#This Row],[Country]])</f>
        <v>India</v>
      </c>
      <c r="E67" s="22">
        <v>33468</v>
      </c>
      <c r="F67" s="19">
        <f>IF(Table14[[#This Row],[Date of Joining]]="",MEDIAN(Table14[Date of Joining]),Table14[[#This Row],[Date of Joining]])</f>
        <v>42463</v>
      </c>
      <c r="G67" s="20">
        <f>IF(Table14[[#This Row],[Performance Rating]]="",0,Table14[[#This Row],[Performance Rating]])</f>
        <v>4</v>
      </c>
      <c r="H67" s="17" t="s">
        <v>180</v>
      </c>
      <c r="I67" s="21" t="s">
        <v>237</v>
      </c>
    </row>
    <row r="68" spans="1:9" x14ac:dyDescent="0.3">
      <c r="A68" s="16" t="s">
        <v>75</v>
      </c>
      <c r="B68" s="17" t="str">
        <f>IF(Table14[[#This Row],[Name]]="","Unknown",Table14[[#This Row],[Name]])</f>
        <v>Sam Wilson</v>
      </c>
      <c r="C68" s="17" t="str">
        <f>IF(Table14[[#This Row],[Department]]="","Unknown",Table14[[#This Row],[Department]])</f>
        <v>Unknown</v>
      </c>
      <c r="D68" s="17" t="str">
        <f>IF(Table14[[#This Row],[Country]]="","Unknown",Table14[[#This Row],[Country]])</f>
        <v>Australia</v>
      </c>
      <c r="E68" s="18">
        <v>96365</v>
      </c>
      <c r="F68" s="19">
        <f>IF(Table14[[#This Row],[Date of Joining]]="",MEDIAN(Table14[Date of Joining]),Table14[[#This Row],[Date of Joining]])</f>
        <v>42470</v>
      </c>
      <c r="G68" s="20">
        <f>IF(Table14[[#This Row],[Performance Rating]]="",0,Table14[[#This Row],[Performance Rating]])</f>
        <v>3</v>
      </c>
      <c r="H68" s="17" t="s">
        <v>179</v>
      </c>
      <c r="I68" s="21" t="s">
        <v>238</v>
      </c>
    </row>
    <row r="69" spans="1:9" x14ac:dyDescent="0.3">
      <c r="A69" s="16" t="s">
        <v>76</v>
      </c>
      <c r="B69" s="17" t="str">
        <f>IF(Table14[[#This Row],[Name]]="","Unknown",Table14[[#This Row],[Name]])</f>
        <v>Alice Brown</v>
      </c>
      <c r="C69" s="17" t="str">
        <f>IF(Table14[[#This Row],[Department]]="","Unknown",Table14[[#This Row],[Department]])</f>
        <v>Sales</v>
      </c>
      <c r="D69" s="17" t="str">
        <f>IF(Table14[[#This Row],[Country]]="","Unknown",Table14[[#This Row],[Country]])</f>
        <v>India</v>
      </c>
      <c r="E69" s="22">
        <v>61942</v>
      </c>
      <c r="F69" s="19">
        <f>IF(Table14[[#This Row],[Date of Joining]]="",MEDIAN(Table14[Date of Joining]),Table14[[#This Row],[Date of Joining]])</f>
        <v>42477</v>
      </c>
      <c r="G69" s="20">
        <f>IF(Table14[[#This Row],[Performance Rating]]="",0,Table14[[#This Row],[Performance Rating]])</f>
        <v>3</v>
      </c>
      <c r="H69" s="17" t="s">
        <v>181</v>
      </c>
      <c r="I69" s="21" t="s">
        <v>239</v>
      </c>
    </row>
    <row r="70" spans="1:9" x14ac:dyDescent="0.3">
      <c r="A70" s="16" t="s">
        <v>77</v>
      </c>
      <c r="B70" s="17" t="str">
        <f>IF(Table14[[#This Row],[Name]]="","Unknown",Table14[[#This Row],[Name]])</f>
        <v>Sam Wilson</v>
      </c>
      <c r="C70" s="17" t="str">
        <f>IF(Table14[[#This Row],[Department]]="","Unknown",Table14[[#This Row],[Department]])</f>
        <v>Finance</v>
      </c>
      <c r="D70" s="17" t="str">
        <f>IF(Table14[[#This Row],[Country]]="","Unknown",Table14[[#This Row],[Country]])</f>
        <v>UK</v>
      </c>
      <c r="E70" s="18">
        <v>41467</v>
      </c>
      <c r="F70" s="19">
        <f>IF(Table14[[#This Row],[Date of Joining]]="",MEDIAN(Table14[Date of Joining]),Table14[[#This Row],[Date of Joining]])</f>
        <v>42484</v>
      </c>
      <c r="G70" s="20">
        <f>IF(Table14[[#This Row],[Performance Rating]]="",0,Table14[[#This Row],[Performance Rating]])</f>
        <v>2</v>
      </c>
      <c r="H70" s="17" t="s">
        <v>178</v>
      </c>
      <c r="I70" s="21" t="s">
        <v>201</v>
      </c>
    </row>
    <row r="71" spans="1:9" x14ac:dyDescent="0.3">
      <c r="A71" s="16" t="s">
        <v>78</v>
      </c>
      <c r="B71" s="17" t="str">
        <f>IF(Table14[[#This Row],[Name]]="","Unknown",Table14[[#This Row],[Name]])</f>
        <v>Bob Johnson</v>
      </c>
      <c r="C71" s="17" t="str">
        <f>IF(Table14[[#This Row],[Department]]="","Unknown",Table14[[#This Row],[Department]])</f>
        <v>Finance</v>
      </c>
      <c r="D71" s="17" t="str">
        <f>IF(Table14[[#This Row],[Country]]="","Unknown",Table14[[#This Row],[Country]])</f>
        <v>India</v>
      </c>
      <c r="E71" s="22">
        <v>77096</v>
      </c>
      <c r="F71" s="19">
        <f>IF(Table14[[#This Row],[Date of Joining]]="",MEDIAN(Table14[Date of Joining]),Table14[[#This Row],[Date of Joining]])</f>
        <v>42491</v>
      </c>
      <c r="G71" s="20">
        <f>IF(Table14[[#This Row],[Performance Rating]]="",0,Table14[[#This Row],[Performance Rating]])</f>
        <v>1</v>
      </c>
      <c r="H71" s="17" t="s">
        <v>178</v>
      </c>
      <c r="I71" s="21" t="s">
        <v>240</v>
      </c>
    </row>
    <row r="72" spans="1:9" x14ac:dyDescent="0.3">
      <c r="A72" s="16" t="s">
        <v>79</v>
      </c>
      <c r="B72" s="17" t="str">
        <f>IF(Table14[[#This Row],[Name]]="","Unknown",Table14[[#This Row],[Name]])</f>
        <v>Eve Adams</v>
      </c>
      <c r="C72" s="17" t="str">
        <f>IF(Table14[[#This Row],[Department]]="","Unknown",Table14[[#This Row],[Department]])</f>
        <v>Sales</v>
      </c>
      <c r="D72" s="17" t="str">
        <f>IF(Table14[[#This Row],[Country]]="","Unknown",Table14[[#This Row],[Country]])</f>
        <v>Australia</v>
      </c>
      <c r="E72" s="18">
        <v>69952</v>
      </c>
      <c r="F72" s="19">
        <f>IF(Table14[[#This Row],[Date of Joining]]="",MEDIAN(Table14[Date of Joining]),Table14[[#This Row],[Date of Joining]])</f>
        <v>42498</v>
      </c>
      <c r="G72" s="20">
        <f>IF(Table14[[#This Row],[Performance Rating]]="",0,Table14[[#This Row],[Performance Rating]])</f>
        <v>5</v>
      </c>
      <c r="H72" s="17" t="s">
        <v>181</v>
      </c>
      <c r="I72" s="21" t="s">
        <v>178</v>
      </c>
    </row>
    <row r="73" spans="1:9" x14ac:dyDescent="0.3">
      <c r="A73" s="16" t="s">
        <v>80</v>
      </c>
      <c r="B73" s="17" t="str">
        <f>IF(Table14[[#This Row],[Name]]="","Unknown",Table14[[#This Row],[Name]])</f>
        <v>Eve Adams</v>
      </c>
      <c r="C73" s="17" t="str">
        <f>IF(Table14[[#This Row],[Department]]="","Unknown",Table14[[#This Row],[Department]])</f>
        <v>Marketing</v>
      </c>
      <c r="D73" s="17" t="str">
        <f>IF(Table14[[#This Row],[Country]]="","Unknown",Table14[[#This Row],[Country]])</f>
        <v>USA</v>
      </c>
      <c r="E73" s="22">
        <v>85065</v>
      </c>
      <c r="F73" s="19">
        <f>IF(Table14[[#This Row],[Date of Joining]]="",MEDIAN(Table14[Date of Joining]),Table14[[#This Row],[Date of Joining]])</f>
        <v>42505</v>
      </c>
      <c r="G73" s="20">
        <f>IF(Table14[[#This Row],[Performance Rating]]="",0,Table14[[#This Row],[Performance Rating]])</f>
        <v>3</v>
      </c>
      <c r="H73" s="17" t="s">
        <v>178</v>
      </c>
      <c r="I73" s="21" t="s">
        <v>241</v>
      </c>
    </row>
    <row r="74" spans="1:9" x14ac:dyDescent="0.3">
      <c r="A74" s="16" t="s">
        <v>81</v>
      </c>
      <c r="B74" s="17" t="str">
        <f>IF(Table14[[#This Row],[Name]]="","Unknown",Table14[[#This Row],[Name]])</f>
        <v>Bob Johnson</v>
      </c>
      <c r="C74" s="17" t="str">
        <f>IF(Table14[[#This Row],[Department]]="","Unknown",Table14[[#This Row],[Department]])</f>
        <v>Marketing</v>
      </c>
      <c r="D74" s="17" t="str">
        <f>IF(Table14[[#This Row],[Country]]="","Unknown",Table14[[#This Row],[Country]])</f>
        <v>India</v>
      </c>
      <c r="E74" s="18">
        <v>56512</v>
      </c>
      <c r="F74" s="19">
        <f>IF(Table14[[#This Row],[Date of Joining]]="",MEDIAN(Table14[Date of Joining]),Table14[[#This Row],[Date of Joining]])</f>
        <v>42512</v>
      </c>
      <c r="G74" s="20">
        <f>IF(Table14[[#This Row],[Performance Rating]]="",0,Table14[[#This Row],[Performance Rating]])</f>
        <v>0</v>
      </c>
      <c r="H74" s="17" t="s">
        <v>179</v>
      </c>
      <c r="I74" s="21" t="s">
        <v>190</v>
      </c>
    </row>
    <row r="75" spans="1:9" x14ac:dyDescent="0.3">
      <c r="A75" s="16" t="s">
        <v>82</v>
      </c>
      <c r="B75" s="17" t="str">
        <f>IF(Table14[[#This Row],[Name]]="","Unknown",Table14[[#This Row],[Name]])</f>
        <v>John Doe</v>
      </c>
      <c r="C75" s="17" t="str">
        <f>IF(Table14[[#This Row],[Department]]="","Unknown",Table14[[#This Row],[Department]])</f>
        <v>Sales</v>
      </c>
      <c r="D75" s="17" t="str">
        <f>IF(Table14[[#This Row],[Country]]="","Unknown",Table14[[#This Row],[Country]])</f>
        <v>India</v>
      </c>
      <c r="E75" s="22">
        <v>91101</v>
      </c>
      <c r="F75" s="19">
        <f>IF(Table14[[#This Row],[Date of Joining]]="",MEDIAN(Table14[Date of Joining]),Table14[[#This Row],[Date of Joining]])</f>
        <v>42519</v>
      </c>
      <c r="G75" s="20">
        <f>IF(Table14[[#This Row],[Performance Rating]]="",0,Table14[[#This Row],[Performance Rating]])</f>
        <v>4</v>
      </c>
      <c r="H75" s="17" t="s">
        <v>181</v>
      </c>
      <c r="I75" s="21" t="s">
        <v>234</v>
      </c>
    </row>
    <row r="76" spans="1:9" x14ac:dyDescent="0.3">
      <c r="A76" s="16" t="s">
        <v>83</v>
      </c>
      <c r="B76" s="17" t="str">
        <f>IF(Table14[[#This Row],[Name]]="","Unknown",Table14[[#This Row],[Name]])</f>
        <v>Sam Wilson</v>
      </c>
      <c r="C76" s="17" t="str">
        <f>IF(Table14[[#This Row],[Department]]="","Unknown",Table14[[#This Row],[Department]])</f>
        <v>Unknown</v>
      </c>
      <c r="D76" s="17" t="str">
        <f>IF(Table14[[#This Row],[Country]]="","Unknown",Table14[[#This Row],[Country]])</f>
        <v>Germany</v>
      </c>
      <c r="E76" s="18">
        <v>41243</v>
      </c>
      <c r="F76" s="19">
        <f>IF(Table14[[#This Row],[Date of Joining]]="",MEDIAN(Table14[Date of Joining]),Table14[[#This Row],[Date of Joining]])</f>
        <v>42526</v>
      </c>
      <c r="G76" s="20">
        <f>IF(Table14[[#This Row],[Performance Rating]]="",0,Table14[[#This Row],[Performance Rating]])</f>
        <v>0</v>
      </c>
      <c r="H76" s="17" t="s">
        <v>178</v>
      </c>
      <c r="I76" s="21" t="s">
        <v>211</v>
      </c>
    </row>
    <row r="77" spans="1:9" x14ac:dyDescent="0.3">
      <c r="A77" s="16" t="s">
        <v>84</v>
      </c>
      <c r="B77" s="17" t="str">
        <f>IF(Table14[[#This Row],[Name]]="","Unknown",Table14[[#This Row],[Name]])</f>
        <v>Unknown</v>
      </c>
      <c r="C77" s="17" t="str">
        <f>IF(Table14[[#This Row],[Department]]="","Unknown",Table14[[#This Row],[Department]])</f>
        <v>Sales</v>
      </c>
      <c r="D77" s="17" t="str">
        <f>IF(Table14[[#This Row],[Country]]="","Unknown",Table14[[#This Row],[Country]])</f>
        <v>Unknown</v>
      </c>
      <c r="E77" s="22">
        <v>96142</v>
      </c>
      <c r="F77" s="19">
        <f>IF(Table14[[#This Row],[Date of Joining]]="",MEDIAN(Table14[Date of Joining]),Table14[[#This Row],[Date of Joining]])</f>
        <v>42533</v>
      </c>
      <c r="G77" s="20">
        <f>IF(Table14[[#This Row],[Performance Rating]]="",0,Table14[[#This Row],[Performance Rating]])</f>
        <v>1</v>
      </c>
      <c r="H77" s="17" t="s">
        <v>179</v>
      </c>
      <c r="I77" s="21" t="s">
        <v>242</v>
      </c>
    </row>
    <row r="78" spans="1:9" x14ac:dyDescent="0.3">
      <c r="A78" s="16" t="s">
        <v>85</v>
      </c>
      <c r="B78" s="17" t="str">
        <f>IF(Table14[[#This Row],[Name]]="","Unknown",Table14[[#This Row],[Name]])</f>
        <v>Eve Adams</v>
      </c>
      <c r="C78" s="17" t="str">
        <f>IF(Table14[[#This Row],[Department]]="","Unknown",Table14[[#This Row],[Department]])</f>
        <v>IT</v>
      </c>
      <c r="D78" s="17" t="str">
        <f>IF(Table14[[#This Row],[Country]]="","Unknown",Table14[[#This Row],[Country]])</f>
        <v>India</v>
      </c>
      <c r="E78" s="18">
        <v>94301</v>
      </c>
      <c r="F78" s="19">
        <f>IF(Table14[[#This Row],[Date of Joining]]="",MEDIAN(Table14[Date of Joining]),Table14[[#This Row],[Date of Joining]])</f>
        <v>42540</v>
      </c>
      <c r="G78" s="20">
        <f>IF(Table14[[#This Row],[Performance Rating]]="",0,Table14[[#This Row],[Performance Rating]])</f>
        <v>1</v>
      </c>
      <c r="H78" s="17" t="s">
        <v>180</v>
      </c>
      <c r="I78" s="21" t="s">
        <v>223</v>
      </c>
    </row>
    <row r="79" spans="1:9" x14ac:dyDescent="0.3">
      <c r="A79" s="16" t="s">
        <v>86</v>
      </c>
      <c r="B79" s="17" t="str">
        <f>IF(Table14[[#This Row],[Name]]="","Unknown",Table14[[#This Row],[Name]])</f>
        <v>Jane Smith</v>
      </c>
      <c r="C79" s="17" t="str">
        <f>IF(Table14[[#This Row],[Department]]="","Unknown",Table14[[#This Row],[Department]])</f>
        <v>Unknown</v>
      </c>
      <c r="D79" s="17" t="str">
        <f>IF(Table14[[#This Row],[Country]]="","Unknown",Table14[[#This Row],[Country]])</f>
        <v>UK</v>
      </c>
      <c r="E79" s="22">
        <v>69166</v>
      </c>
      <c r="F79" s="19">
        <f>IF(Table14[[#This Row],[Date of Joining]]="",MEDIAN(Table14[Date of Joining]),Table14[[#This Row],[Date of Joining]])</f>
        <v>42547</v>
      </c>
      <c r="G79" s="20">
        <f>IF(Table14[[#This Row],[Performance Rating]]="",0,Table14[[#This Row],[Performance Rating]])</f>
        <v>1</v>
      </c>
      <c r="H79" s="17" t="s">
        <v>181</v>
      </c>
      <c r="I79" s="21" t="s">
        <v>243</v>
      </c>
    </row>
    <row r="80" spans="1:9" x14ac:dyDescent="0.3">
      <c r="A80" s="16" t="s">
        <v>87</v>
      </c>
      <c r="B80" s="17" t="str">
        <f>IF(Table14[[#This Row],[Name]]="","Unknown",Table14[[#This Row],[Name]])</f>
        <v>Sam Wilson</v>
      </c>
      <c r="C80" s="17" t="str">
        <f>IF(Table14[[#This Row],[Department]]="","Unknown",Table14[[#This Row],[Department]])</f>
        <v>Unknown</v>
      </c>
      <c r="D80" s="17" t="str">
        <f>IF(Table14[[#This Row],[Country]]="","Unknown",Table14[[#This Row],[Country]])</f>
        <v>UK</v>
      </c>
      <c r="E80" s="18">
        <v>78245</v>
      </c>
      <c r="F80" s="19">
        <f>IF(Table14[[#This Row],[Date of Joining]]="",MEDIAN(Table14[Date of Joining]),Table14[[#This Row],[Date of Joining]])</f>
        <v>42554</v>
      </c>
      <c r="G80" s="20">
        <f>IF(Table14[[#This Row],[Performance Rating]]="",0,Table14[[#This Row],[Performance Rating]])</f>
        <v>2</v>
      </c>
      <c r="H80" s="17" t="s">
        <v>178</v>
      </c>
      <c r="I80" s="21" t="s">
        <v>244</v>
      </c>
    </row>
    <row r="81" spans="1:9" x14ac:dyDescent="0.3">
      <c r="A81" s="16" t="s">
        <v>88</v>
      </c>
      <c r="B81" s="17" t="str">
        <f>IF(Table14[[#This Row],[Name]]="","Unknown",Table14[[#This Row],[Name]])</f>
        <v>Chris Lee</v>
      </c>
      <c r="C81" s="17" t="str">
        <f>IF(Table14[[#This Row],[Department]]="","Unknown",Table14[[#This Row],[Department]])</f>
        <v>Sales</v>
      </c>
      <c r="D81" s="17" t="str">
        <f>IF(Table14[[#This Row],[Country]]="","Unknown",Table14[[#This Row],[Country]])</f>
        <v>USA</v>
      </c>
      <c r="E81" s="22">
        <v>66079</v>
      </c>
      <c r="F81" s="19">
        <f>IF(Table14[[#This Row],[Date of Joining]]="",MEDIAN(Table14[Date of Joining]),Table14[[#This Row],[Date of Joining]])</f>
        <v>42561</v>
      </c>
      <c r="G81" s="20">
        <f>IF(Table14[[#This Row],[Performance Rating]]="",0,Table14[[#This Row],[Performance Rating]])</f>
        <v>2</v>
      </c>
      <c r="H81" s="17" t="s">
        <v>179</v>
      </c>
      <c r="I81" s="21" t="s">
        <v>245</v>
      </c>
    </row>
    <row r="82" spans="1:9" x14ac:dyDescent="0.3">
      <c r="A82" s="16" t="s">
        <v>89</v>
      </c>
      <c r="B82" s="17" t="str">
        <f>IF(Table14[[#This Row],[Name]]="","Unknown",Table14[[#This Row],[Name]])</f>
        <v>Eve Adams</v>
      </c>
      <c r="C82" s="17" t="str">
        <f>IF(Table14[[#This Row],[Department]]="","Unknown",Table14[[#This Row],[Department]])</f>
        <v>Marketing</v>
      </c>
      <c r="D82" s="17" t="str">
        <f>IF(Table14[[#This Row],[Country]]="","Unknown",Table14[[#This Row],[Country]])</f>
        <v>India</v>
      </c>
      <c r="E82" s="18">
        <v>63686.692307692305</v>
      </c>
      <c r="F82" s="19">
        <f>IF(Table14[[#This Row],[Date of Joining]]="",MEDIAN(Table14[Date of Joining]),Table14[[#This Row],[Date of Joining]])</f>
        <v>42533</v>
      </c>
      <c r="G82" s="20">
        <f>IF(Table14[[#This Row],[Performance Rating]]="",0,Table14[[#This Row],[Performance Rating]])</f>
        <v>0</v>
      </c>
      <c r="H82" s="17" t="s">
        <v>178</v>
      </c>
      <c r="I82" s="21" t="s">
        <v>208</v>
      </c>
    </row>
    <row r="83" spans="1:9" x14ac:dyDescent="0.3">
      <c r="A83" s="16" t="s">
        <v>90</v>
      </c>
      <c r="B83" s="17" t="str">
        <f>IF(Table14[[#This Row],[Name]]="","Unknown",Table14[[#This Row],[Name]])</f>
        <v>Jane Smith</v>
      </c>
      <c r="C83" s="17" t="str">
        <f>IF(Table14[[#This Row],[Department]]="","Unknown",Table14[[#This Row],[Department]])</f>
        <v>Sales</v>
      </c>
      <c r="D83" s="17" t="str">
        <f>IF(Table14[[#This Row],[Country]]="","Unknown",Table14[[#This Row],[Country]])</f>
        <v>USA</v>
      </c>
      <c r="E83" s="22">
        <v>95621</v>
      </c>
      <c r="F83" s="19">
        <f>IF(Table14[[#This Row],[Date of Joining]]="",MEDIAN(Table14[Date of Joining]),Table14[[#This Row],[Date of Joining]])</f>
        <v>42575</v>
      </c>
      <c r="G83" s="20">
        <f>IF(Table14[[#This Row],[Performance Rating]]="",0,Table14[[#This Row],[Performance Rating]])</f>
        <v>3</v>
      </c>
      <c r="H83" s="17" t="s">
        <v>181</v>
      </c>
      <c r="I83" s="21" t="s">
        <v>246</v>
      </c>
    </row>
    <row r="84" spans="1:9" x14ac:dyDescent="0.3">
      <c r="A84" s="16" t="s">
        <v>91</v>
      </c>
      <c r="B84" s="17" t="str">
        <f>IF(Table14[[#This Row],[Name]]="","Unknown",Table14[[#This Row],[Name]])</f>
        <v>Eve Adams</v>
      </c>
      <c r="C84" s="17" t="str">
        <f>IF(Table14[[#This Row],[Department]]="","Unknown",Table14[[#This Row],[Department]])</f>
        <v>IT</v>
      </c>
      <c r="D84" s="17" t="str">
        <f>IF(Table14[[#This Row],[Country]]="","Unknown",Table14[[#This Row],[Country]])</f>
        <v>UK</v>
      </c>
      <c r="E84" s="18">
        <v>42262</v>
      </c>
      <c r="F84" s="19">
        <f>IF(Table14[[#This Row],[Date of Joining]]="",MEDIAN(Table14[Date of Joining]),Table14[[#This Row],[Date of Joining]])</f>
        <v>42582</v>
      </c>
      <c r="G84" s="20">
        <f>IF(Table14[[#This Row],[Performance Rating]]="",0,Table14[[#This Row],[Performance Rating]])</f>
        <v>1</v>
      </c>
      <c r="H84" s="17" t="s">
        <v>178</v>
      </c>
      <c r="I84" s="21" t="s">
        <v>247</v>
      </c>
    </row>
    <row r="85" spans="1:9" x14ac:dyDescent="0.3">
      <c r="A85" s="16" t="s">
        <v>92</v>
      </c>
      <c r="B85" s="17" t="str">
        <f>IF(Table14[[#This Row],[Name]]="","Unknown",Table14[[#This Row],[Name]])</f>
        <v>Sam Wilson</v>
      </c>
      <c r="C85" s="17" t="str">
        <f>IF(Table14[[#This Row],[Department]]="","Unknown",Table14[[#This Row],[Department]])</f>
        <v>Sales</v>
      </c>
      <c r="D85" s="17" t="str">
        <f>IF(Table14[[#This Row],[Country]]="","Unknown",Table14[[#This Row],[Country]])</f>
        <v>India</v>
      </c>
      <c r="E85" s="22">
        <v>99621</v>
      </c>
      <c r="F85" s="19">
        <f>IF(Table14[[#This Row],[Date of Joining]]="",MEDIAN(Table14[Date of Joining]),Table14[[#This Row],[Date of Joining]])</f>
        <v>42589</v>
      </c>
      <c r="G85" s="20">
        <f>IF(Table14[[#This Row],[Performance Rating]]="",0,Table14[[#This Row],[Performance Rating]])</f>
        <v>0</v>
      </c>
      <c r="H85" s="17" t="s">
        <v>179</v>
      </c>
      <c r="I85" s="21" t="s">
        <v>248</v>
      </c>
    </row>
    <row r="86" spans="1:9" x14ac:dyDescent="0.3">
      <c r="A86" s="16" t="s">
        <v>93</v>
      </c>
      <c r="B86" s="17" t="str">
        <f>IF(Table14[[#This Row],[Name]]="","Unknown",Table14[[#This Row],[Name]])</f>
        <v>John Doe</v>
      </c>
      <c r="C86" s="17" t="str">
        <f>IF(Table14[[#This Row],[Department]]="","Unknown",Table14[[#This Row],[Department]])</f>
        <v>Marketing</v>
      </c>
      <c r="D86" s="17" t="str">
        <f>IF(Table14[[#This Row],[Country]]="","Unknown",Table14[[#This Row],[Country]])</f>
        <v>India</v>
      </c>
      <c r="E86" s="18">
        <v>44682</v>
      </c>
      <c r="F86" s="19">
        <f>IF(Table14[[#This Row],[Date of Joining]]="",MEDIAN(Table14[Date of Joining]),Table14[[#This Row],[Date of Joining]])</f>
        <v>42596</v>
      </c>
      <c r="G86" s="20">
        <f>IF(Table14[[#This Row],[Performance Rating]]="",0,Table14[[#This Row],[Performance Rating]])</f>
        <v>4</v>
      </c>
      <c r="H86" s="17" t="s">
        <v>181</v>
      </c>
      <c r="I86" s="21" t="s">
        <v>220</v>
      </c>
    </row>
    <row r="87" spans="1:9" x14ac:dyDescent="0.3">
      <c r="A87" s="16" t="s">
        <v>94</v>
      </c>
      <c r="B87" s="17" t="str">
        <f>IF(Table14[[#This Row],[Name]]="","Unknown",Table14[[#This Row],[Name]])</f>
        <v>Chris Lee</v>
      </c>
      <c r="C87" s="17" t="str">
        <f>IF(Table14[[#This Row],[Department]]="","Unknown",Table14[[#This Row],[Department]])</f>
        <v>Finance</v>
      </c>
      <c r="D87" s="17" t="str">
        <f>IF(Table14[[#This Row],[Country]]="","Unknown",Table14[[#This Row],[Country]])</f>
        <v>Unknown</v>
      </c>
      <c r="E87" s="22">
        <v>35163</v>
      </c>
      <c r="F87" s="19">
        <f>IF(Table14[[#This Row],[Date of Joining]]="",MEDIAN(Table14[Date of Joining]),Table14[[#This Row],[Date of Joining]])</f>
        <v>42603</v>
      </c>
      <c r="G87" s="20">
        <f>IF(Table14[[#This Row],[Performance Rating]]="",0,Table14[[#This Row],[Performance Rating]])</f>
        <v>5</v>
      </c>
      <c r="H87" s="17" t="s">
        <v>179</v>
      </c>
      <c r="I87" s="21" t="s">
        <v>249</v>
      </c>
    </row>
    <row r="88" spans="1:9" x14ac:dyDescent="0.3">
      <c r="A88" s="16" t="s">
        <v>95</v>
      </c>
      <c r="B88" s="17" t="str">
        <f>IF(Table14[[#This Row],[Name]]="","Unknown",Table14[[#This Row],[Name]])</f>
        <v>Chris Lee</v>
      </c>
      <c r="C88" s="17" t="str">
        <f>IF(Table14[[#This Row],[Department]]="","Unknown",Table14[[#This Row],[Department]])</f>
        <v>IT</v>
      </c>
      <c r="D88" s="17" t="str">
        <f>IF(Table14[[#This Row],[Country]]="","Unknown",Table14[[#This Row],[Country]])</f>
        <v>India</v>
      </c>
      <c r="E88" s="18">
        <v>33483</v>
      </c>
      <c r="F88" s="19">
        <f>IF(Table14[[#This Row],[Date of Joining]]="",MEDIAN(Table14[Date of Joining]),Table14[[#This Row],[Date of Joining]])</f>
        <v>42610</v>
      </c>
      <c r="G88" s="20">
        <f>IF(Table14[[#This Row],[Performance Rating]]="",0,Table14[[#This Row],[Performance Rating]])</f>
        <v>4</v>
      </c>
      <c r="H88" s="17" t="s">
        <v>180</v>
      </c>
      <c r="I88" s="21" t="s">
        <v>250</v>
      </c>
    </row>
    <row r="89" spans="1:9" x14ac:dyDescent="0.3">
      <c r="A89" s="16" t="s">
        <v>96</v>
      </c>
      <c r="B89" s="17" t="str">
        <f>IF(Table14[[#This Row],[Name]]="","Unknown",Table14[[#This Row],[Name]])</f>
        <v>Sam Wilson</v>
      </c>
      <c r="C89" s="17" t="str">
        <f>IF(Table14[[#This Row],[Department]]="","Unknown",Table14[[#This Row],[Department]])</f>
        <v>HR</v>
      </c>
      <c r="D89" s="17" t="str">
        <f>IF(Table14[[#This Row],[Country]]="","Unknown",Table14[[#This Row],[Country]])</f>
        <v>Germany</v>
      </c>
      <c r="E89" s="22">
        <v>55303</v>
      </c>
      <c r="F89" s="19">
        <f>IF(Table14[[#This Row],[Date of Joining]]="",MEDIAN(Table14[Date of Joining]),Table14[[#This Row],[Date of Joining]])</f>
        <v>42617</v>
      </c>
      <c r="G89" s="20">
        <f>IF(Table14[[#This Row],[Performance Rating]]="",0,Table14[[#This Row],[Performance Rating]])</f>
        <v>4</v>
      </c>
      <c r="H89" s="17" t="s">
        <v>180</v>
      </c>
      <c r="I89" s="21" t="s">
        <v>203</v>
      </c>
    </row>
    <row r="90" spans="1:9" x14ac:dyDescent="0.3">
      <c r="A90" s="16" t="s">
        <v>97</v>
      </c>
      <c r="B90" s="17" t="str">
        <f>IF(Table14[[#This Row],[Name]]="","Unknown",Table14[[#This Row],[Name]])</f>
        <v>Chris Lee</v>
      </c>
      <c r="C90" s="17" t="str">
        <f>IF(Table14[[#This Row],[Department]]="","Unknown",Table14[[#This Row],[Department]])</f>
        <v>IT</v>
      </c>
      <c r="D90" s="17" t="str">
        <f>IF(Table14[[#This Row],[Country]]="","Unknown",Table14[[#This Row],[Country]])</f>
        <v>Unknown</v>
      </c>
      <c r="E90" s="18">
        <v>63434</v>
      </c>
      <c r="F90" s="19">
        <f>IF(Table14[[#This Row],[Date of Joining]]="",MEDIAN(Table14[Date of Joining]),Table14[[#This Row],[Date of Joining]])</f>
        <v>42624</v>
      </c>
      <c r="G90" s="20">
        <f>IF(Table14[[#This Row],[Performance Rating]]="",0,Table14[[#This Row],[Performance Rating]])</f>
        <v>3</v>
      </c>
      <c r="H90" s="17" t="s">
        <v>178</v>
      </c>
      <c r="I90" s="21" t="s">
        <v>251</v>
      </c>
    </row>
    <row r="91" spans="1:9" x14ac:dyDescent="0.3">
      <c r="A91" s="16" t="s">
        <v>98</v>
      </c>
      <c r="B91" s="17" t="str">
        <f>IF(Table14[[#This Row],[Name]]="","Unknown",Table14[[#This Row],[Name]])</f>
        <v>Jane Smith</v>
      </c>
      <c r="C91" s="17" t="str">
        <f>IF(Table14[[#This Row],[Department]]="","Unknown",Table14[[#This Row],[Department]])</f>
        <v>Unknown</v>
      </c>
      <c r="D91" s="17" t="str">
        <f>IF(Table14[[#This Row],[Country]]="","Unknown",Table14[[#This Row],[Country]])</f>
        <v>Australia</v>
      </c>
      <c r="E91" s="22">
        <v>38830</v>
      </c>
      <c r="F91" s="19">
        <f>IF(Table14[[#This Row],[Date of Joining]]="",MEDIAN(Table14[Date of Joining]),Table14[[#This Row],[Date of Joining]])</f>
        <v>42631</v>
      </c>
      <c r="G91" s="20">
        <f>IF(Table14[[#This Row],[Performance Rating]]="",0,Table14[[#This Row],[Performance Rating]])</f>
        <v>3</v>
      </c>
      <c r="H91" s="17" t="s">
        <v>179</v>
      </c>
      <c r="I91" s="21" t="s">
        <v>203</v>
      </c>
    </row>
    <row r="92" spans="1:9" x14ac:dyDescent="0.3">
      <c r="A92" s="16" t="s">
        <v>99</v>
      </c>
      <c r="B92" s="17" t="str">
        <f>IF(Table14[[#This Row],[Name]]="","Unknown",Table14[[#This Row],[Name]])</f>
        <v>Unknown</v>
      </c>
      <c r="C92" s="17" t="str">
        <f>IF(Table14[[#This Row],[Department]]="","Unknown",Table14[[#This Row],[Department]])</f>
        <v>Marketing</v>
      </c>
      <c r="D92" s="17" t="str">
        <f>IF(Table14[[#This Row],[Country]]="","Unknown",Table14[[#This Row],[Country]])</f>
        <v>UK</v>
      </c>
      <c r="E92" s="18">
        <v>50741</v>
      </c>
      <c r="F92" s="19">
        <f>IF(Table14[[#This Row],[Date of Joining]]="",MEDIAN(Table14[Date of Joining]),Table14[[#This Row],[Date of Joining]])</f>
        <v>42638</v>
      </c>
      <c r="G92" s="20">
        <f>IF(Table14[[#This Row],[Performance Rating]]="",0,Table14[[#This Row],[Performance Rating]])</f>
        <v>3</v>
      </c>
      <c r="H92" s="17" t="s">
        <v>178</v>
      </c>
      <c r="I92" s="21" t="s">
        <v>240</v>
      </c>
    </row>
    <row r="93" spans="1:9" x14ac:dyDescent="0.3">
      <c r="A93" s="16" t="s">
        <v>100</v>
      </c>
      <c r="B93" s="17" t="str">
        <f>IF(Table14[[#This Row],[Name]]="","Unknown",Table14[[#This Row],[Name]])</f>
        <v>Alice Brown</v>
      </c>
      <c r="C93" s="17" t="str">
        <f>IF(Table14[[#This Row],[Department]]="","Unknown",Table14[[#This Row],[Department]])</f>
        <v>HR</v>
      </c>
      <c r="D93" s="17" t="str">
        <f>IF(Table14[[#This Row],[Country]]="","Unknown",Table14[[#This Row],[Country]])</f>
        <v>Australia</v>
      </c>
      <c r="E93" s="22">
        <v>69420</v>
      </c>
      <c r="F93" s="19">
        <f>IF(Table14[[#This Row],[Date of Joining]]="",MEDIAN(Table14[Date of Joining]),Table14[[#This Row],[Date of Joining]])</f>
        <v>42645</v>
      </c>
      <c r="G93" s="20">
        <f>IF(Table14[[#This Row],[Performance Rating]]="",0,Table14[[#This Row],[Performance Rating]])</f>
        <v>1</v>
      </c>
      <c r="H93" s="17" t="s">
        <v>180</v>
      </c>
      <c r="I93" s="21" t="s">
        <v>225</v>
      </c>
    </row>
    <row r="94" spans="1:9" x14ac:dyDescent="0.3">
      <c r="A94" s="16" t="s">
        <v>101</v>
      </c>
      <c r="B94" s="17" t="str">
        <f>IF(Table14[[#This Row],[Name]]="","Unknown",Table14[[#This Row],[Name]])</f>
        <v>Jane Smith</v>
      </c>
      <c r="C94" s="17" t="str">
        <f>IF(Table14[[#This Row],[Department]]="","Unknown",Table14[[#This Row],[Department]])</f>
        <v>IT</v>
      </c>
      <c r="D94" s="17" t="str">
        <f>IF(Table14[[#This Row],[Country]]="","Unknown",Table14[[#This Row],[Country]])</f>
        <v>Unknown</v>
      </c>
      <c r="E94" s="18">
        <v>80588</v>
      </c>
      <c r="F94" s="19">
        <f>IF(Table14[[#This Row],[Date of Joining]]="",MEDIAN(Table14[Date of Joining]),Table14[[#This Row],[Date of Joining]])</f>
        <v>42652</v>
      </c>
      <c r="G94" s="20">
        <f>IF(Table14[[#This Row],[Performance Rating]]="",0,Table14[[#This Row],[Performance Rating]])</f>
        <v>5</v>
      </c>
      <c r="H94" s="17" t="s">
        <v>180</v>
      </c>
      <c r="I94" s="21" t="s">
        <v>216</v>
      </c>
    </row>
    <row r="95" spans="1:9" x14ac:dyDescent="0.3">
      <c r="A95" s="16" t="s">
        <v>102</v>
      </c>
      <c r="B95" s="17" t="str">
        <f>IF(Table14[[#This Row],[Name]]="","Unknown",Table14[[#This Row],[Name]])</f>
        <v>Alice Brown</v>
      </c>
      <c r="C95" s="17" t="str">
        <f>IF(Table14[[#This Row],[Department]]="","Unknown",Table14[[#This Row],[Department]])</f>
        <v>Unknown</v>
      </c>
      <c r="D95" s="17" t="str">
        <f>IF(Table14[[#This Row],[Country]]="","Unknown",Table14[[#This Row],[Country]])</f>
        <v>USA</v>
      </c>
      <c r="E95" s="22">
        <v>76238</v>
      </c>
      <c r="F95" s="19">
        <f>IF(Table14[[#This Row],[Date of Joining]]="",MEDIAN(Table14[Date of Joining]),Table14[[#This Row],[Date of Joining]])</f>
        <v>42659</v>
      </c>
      <c r="G95" s="20">
        <f>IF(Table14[[#This Row],[Performance Rating]]="",0,Table14[[#This Row],[Performance Rating]])</f>
        <v>4</v>
      </c>
      <c r="H95" s="17" t="s">
        <v>180</v>
      </c>
      <c r="I95" s="21" t="s">
        <v>252</v>
      </c>
    </row>
    <row r="96" spans="1:9" x14ac:dyDescent="0.3">
      <c r="A96" s="16" t="s">
        <v>103</v>
      </c>
      <c r="B96" s="17" t="str">
        <f>IF(Table14[[#This Row],[Name]]="","Unknown",Table14[[#This Row],[Name]])</f>
        <v>Bob Johnson</v>
      </c>
      <c r="C96" s="17" t="str">
        <f>IF(Table14[[#This Row],[Department]]="","Unknown",Table14[[#This Row],[Department]])</f>
        <v>IT</v>
      </c>
      <c r="D96" s="17" t="str">
        <f>IF(Table14[[#This Row],[Country]]="","Unknown",Table14[[#This Row],[Country]])</f>
        <v>India</v>
      </c>
      <c r="E96" s="18">
        <v>33264</v>
      </c>
      <c r="F96" s="19">
        <f>IF(Table14[[#This Row],[Date of Joining]]="",MEDIAN(Table14[Date of Joining]),Table14[[#This Row],[Date of Joining]])</f>
        <v>42666</v>
      </c>
      <c r="G96" s="20">
        <f>IF(Table14[[#This Row],[Performance Rating]]="",0,Table14[[#This Row],[Performance Rating]])</f>
        <v>0</v>
      </c>
      <c r="H96" s="17" t="s">
        <v>181</v>
      </c>
      <c r="I96" s="21" t="s">
        <v>253</v>
      </c>
    </row>
    <row r="97" spans="1:9" x14ac:dyDescent="0.3">
      <c r="A97" s="16" t="s">
        <v>104</v>
      </c>
      <c r="B97" s="17" t="str">
        <f>IF(Table14[[#This Row],[Name]]="","Unknown",Table14[[#This Row],[Name]])</f>
        <v>Alice Brown</v>
      </c>
      <c r="C97" s="17" t="str">
        <f>IF(Table14[[#This Row],[Department]]="","Unknown",Table14[[#This Row],[Department]])</f>
        <v>Finance</v>
      </c>
      <c r="D97" s="17" t="str">
        <f>IF(Table14[[#This Row],[Country]]="","Unknown",Table14[[#This Row],[Country]])</f>
        <v>Australia</v>
      </c>
      <c r="E97" s="22">
        <v>96101</v>
      </c>
      <c r="F97" s="19">
        <f>IF(Table14[[#This Row],[Date of Joining]]="",MEDIAN(Table14[Date of Joining]),Table14[[#This Row],[Date of Joining]])</f>
        <v>42673</v>
      </c>
      <c r="G97" s="20">
        <f>IF(Table14[[#This Row],[Performance Rating]]="",0,Table14[[#This Row],[Performance Rating]])</f>
        <v>0</v>
      </c>
      <c r="H97" s="17" t="s">
        <v>179</v>
      </c>
      <c r="I97" s="21" t="s">
        <v>254</v>
      </c>
    </row>
    <row r="98" spans="1:9" x14ac:dyDescent="0.3">
      <c r="A98" s="16" t="s">
        <v>105</v>
      </c>
      <c r="B98" s="17" t="str">
        <f>IF(Table14[[#This Row],[Name]]="","Unknown",Table14[[#This Row],[Name]])</f>
        <v>Jane Smith</v>
      </c>
      <c r="C98" s="17" t="str">
        <f>IF(Table14[[#This Row],[Department]]="","Unknown",Table14[[#This Row],[Department]])</f>
        <v>Finance</v>
      </c>
      <c r="D98" s="17" t="str">
        <f>IF(Table14[[#This Row],[Country]]="","Unknown",Table14[[#This Row],[Country]])</f>
        <v>USA</v>
      </c>
      <c r="E98" s="18">
        <v>72939</v>
      </c>
      <c r="F98" s="19">
        <f>IF(Table14[[#This Row],[Date of Joining]]="",MEDIAN(Table14[Date of Joining]),Table14[[#This Row],[Date of Joining]])</f>
        <v>42680</v>
      </c>
      <c r="G98" s="20">
        <f>IF(Table14[[#This Row],[Performance Rating]]="",0,Table14[[#This Row],[Performance Rating]])</f>
        <v>3</v>
      </c>
      <c r="H98" s="17" t="s">
        <v>178</v>
      </c>
      <c r="I98" s="21" t="s">
        <v>255</v>
      </c>
    </row>
    <row r="99" spans="1:9" x14ac:dyDescent="0.3">
      <c r="A99" s="16" t="s">
        <v>106</v>
      </c>
      <c r="B99" s="17" t="str">
        <f>IF(Table14[[#This Row],[Name]]="","Unknown",Table14[[#This Row],[Name]])</f>
        <v>Sam Wilson</v>
      </c>
      <c r="C99" s="17" t="str">
        <f>IF(Table14[[#This Row],[Department]]="","Unknown",Table14[[#This Row],[Department]])</f>
        <v>HR</v>
      </c>
      <c r="D99" s="17" t="str">
        <f>IF(Table14[[#This Row],[Country]]="","Unknown",Table14[[#This Row],[Country]])</f>
        <v>Germany</v>
      </c>
      <c r="E99" s="22">
        <v>89333</v>
      </c>
      <c r="F99" s="19">
        <f>IF(Table14[[#This Row],[Date of Joining]]="",MEDIAN(Table14[Date of Joining]),Table14[[#This Row],[Date of Joining]])</f>
        <v>42687</v>
      </c>
      <c r="G99" s="20">
        <f>IF(Table14[[#This Row],[Performance Rating]]="",0,Table14[[#This Row],[Performance Rating]])</f>
        <v>1</v>
      </c>
      <c r="H99" s="17" t="s">
        <v>180</v>
      </c>
      <c r="I99" s="21" t="s">
        <v>256</v>
      </c>
    </row>
    <row r="100" spans="1:9" x14ac:dyDescent="0.3">
      <c r="A100" s="16" t="s">
        <v>107</v>
      </c>
      <c r="B100" s="17" t="str">
        <f>IF(Table14[[#This Row],[Name]]="","Unknown",Table14[[#This Row],[Name]])</f>
        <v>Bob Johnson</v>
      </c>
      <c r="C100" s="17" t="str">
        <f>IF(Table14[[#This Row],[Department]]="","Unknown",Table14[[#This Row],[Department]])</f>
        <v>IT</v>
      </c>
      <c r="D100" s="17" t="str">
        <f>IF(Table14[[#This Row],[Country]]="","Unknown",Table14[[#This Row],[Country]])</f>
        <v>Australia</v>
      </c>
      <c r="E100" s="18">
        <v>70470</v>
      </c>
      <c r="F100" s="19">
        <f>IF(Table14[[#This Row],[Date of Joining]]="",MEDIAN(Table14[Date of Joining]),Table14[[#This Row],[Date of Joining]])</f>
        <v>42694</v>
      </c>
      <c r="G100" s="20">
        <f>IF(Table14[[#This Row],[Performance Rating]]="",0,Table14[[#This Row],[Performance Rating]])</f>
        <v>0</v>
      </c>
      <c r="H100" s="17" t="s">
        <v>180</v>
      </c>
      <c r="I100" s="21" t="s">
        <v>257</v>
      </c>
    </row>
    <row r="101" spans="1:9" x14ac:dyDescent="0.3">
      <c r="A101" s="16" t="s">
        <v>108</v>
      </c>
      <c r="B101" s="17" t="str">
        <f>IF(Table14[[#This Row],[Name]]="","Unknown",Table14[[#This Row],[Name]])</f>
        <v>Eve Adams</v>
      </c>
      <c r="C101" s="17" t="str">
        <f>IF(Table14[[#This Row],[Department]]="","Unknown",Table14[[#This Row],[Department]])</f>
        <v>Marketing</v>
      </c>
      <c r="D101" s="17" t="str">
        <f>IF(Table14[[#This Row],[Country]]="","Unknown",Table14[[#This Row],[Country]])</f>
        <v>USA</v>
      </c>
      <c r="E101" s="22">
        <v>70096</v>
      </c>
      <c r="F101" s="19">
        <f>IF(Table14[[#This Row],[Date of Joining]]="",MEDIAN(Table14[Date of Joining]),Table14[[#This Row],[Date of Joining]])</f>
        <v>42701</v>
      </c>
      <c r="G101" s="20">
        <f>IF(Table14[[#This Row],[Performance Rating]]="",0,Table14[[#This Row],[Performance Rating]])</f>
        <v>4</v>
      </c>
      <c r="H101" s="17" t="s">
        <v>180</v>
      </c>
      <c r="I101" s="21" t="s">
        <v>258</v>
      </c>
    </row>
    <row r="102" spans="1:9" x14ac:dyDescent="0.3">
      <c r="A102" s="16" t="s">
        <v>109</v>
      </c>
      <c r="B102" s="17" t="str">
        <f>IF(Table14[[#This Row],[Name]]="","Unknown",Table14[[#This Row],[Name]])</f>
        <v>Bob Johnson</v>
      </c>
      <c r="C102" s="17" t="str">
        <f>IF(Table14[[#This Row],[Department]]="","Unknown",Table14[[#This Row],[Department]])</f>
        <v>Marketing</v>
      </c>
      <c r="D102" s="17" t="str">
        <f>IF(Table14[[#This Row],[Country]]="","Unknown",Table14[[#This Row],[Country]])</f>
        <v>Unknown</v>
      </c>
      <c r="E102" s="18">
        <v>63686.692307692305</v>
      </c>
      <c r="F102" s="19">
        <f>IF(Table14[[#This Row],[Date of Joining]]="",MEDIAN(Table14[Date of Joining]),Table14[[#This Row],[Date of Joining]])</f>
        <v>42708</v>
      </c>
      <c r="G102" s="20">
        <f>IF(Table14[[#This Row],[Performance Rating]]="",0,Table14[[#This Row],[Performance Rating]])</f>
        <v>2</v>
      </c>
      <c r="H102" s="17" t="s">
        <v>179</v>
      </c>
      <c r="I102" s="21" t="s">
        <v>259</v>
      </c>
    </row>
    <row r="103" spans="1:9" x14ac:dyDescent="0.3">
      <c r="A103" s="16" t="s">
        <v>110</v>
      </c>
      <c r="B103" s="17" t="str">
        <f>IF(Table14[[#This Row],[Name]]="","Unknown",Table14[[#This Row],[Name]])</f>
        <v>Bob Johnson</v>
      </c>
      <c r="C103" s="17" t="str">
        <f>IF(Table14[[#This Row],[Department]]="","Unknown",Table14[[#This Row],[Department]])</f>
        <v>IT</v>
      </c>
      <c r="D103" s="17" t="str">
        <f>IF(Table14[[#This Row],[Country]]="","Unknown",Table14[[#This Row],[Country]])</f>
        <v>Germany</v>
      </c>
      <c r="E103" s="22">
        <v>66503</v>
      </c>
      <c r="F103" s="19">
        <f>IF(Table14[[#This Row],[Date of Joining]]="",MEDIAN(Table14[Date of Joining]),Table14[[#This Row],[Date of Joining]])</f>
        <v>42715</v>
      </c>
      <c r="G103" s="20">
        <f>IF(Table14[[#This Row],[Performance Rating]]="",0,Table14[[#This Row],[Performance Rating]])</f>
        <v>0</v>
      </c>
      <c r="H103" s="17" t="s">
        <v>180</v>
      </c>
      <c r="I103" s="21" t="s">
        <v>200</v>
      </c>
    </row>
    <row r="104" spans="1:9" x14ac:dyDescent="0.3">
      <c r="A104" s="16" t="s">
        <v>111</v>
      </c>
      <c r="B104" s="17" t="str">
        <f>IF(Table14[[#This Row],[Name]]="","Unknown",Table14[[#This Row],[Name]])</f>
        <v>Alice Brown</v>
      </c>
      <c r="C104" s="17" t="str">
        <f>IF(Table14[[#This Row],[Department]]="","Unknown",Table14[[#This Row],[Department]])</f>
        <v>HR</v>
      </c>
      <c r="D104" s="17" t="str">
        <f>IF(Table14[[#This Row],[Country]]="","Unknown",Table14[[#This Row],[Country]])</f>
        <v>Germany</v>
      </c>
      <c r="E104" s="18">
        <v>42096</v>
      </c>
      <c r="F104" s="19">
        <f>IF(Table14[[#This Row],[Date of Joining]]="",MEDIAN(Table14[Date of Joining]),Table14[[#This Row],[Date of Joining]])</f>
        <v>42722</v>
      </c>
      <c r="G104" s="20">
        <f>IF(Table14[[#This Row],[Performance Rating]]="",0,Table14[[#This Row],[Performance Rating]])</f>
        <v>0</v>
      </c>
      <c r="H104" s="17" t="s">
        <v>181</v>
      </c>
      <c r="I104" s="21" t="s">
        <v>260</v>
      </c>
    </row>
    <row r="105" spans="1:9" x14ac:dyDescent="0.3">
      <c r="A105" s="16" t="s">
        <v>112</v>
      </c>
      <c r="B105" s="17" t="str">
        <f>IF(Table14[[#This Row],[Name]]="","Unknown",Table14[[#This Row],[Name]])</f>
        <v>Alice Brown</v>
      </c>
      <c r="C105" s="17" t="str">
        <f>IF(Table14[[#This Row],[Department]]="","Unknown",Table14[[#This Row],[Department]])</f>
        <v>Marketing</v>
      </c>
      <c r="D105" s="17" t="str">
        <f>IF(Table14[[#This Row],[Country]]="","Unknown",Table14[[#This Row],[Country]])</f>
        <v>Unknown</v>
      </c>
      <c r="E105" s="22">
        <v>79145</v>
      </c>
      <c r="F105" s="19">
        <f>IF(Table14[[#This Row],[Date of Joining]]="",MEDIAN(Table14[Date of Joining]),Table14[[#This Row],[Date of Joining]])</f>
        <v>42729</v>
      </c>
      <c r="G105" s="20">
        <f>IF(Table14[[#This Row],[Performance Rating]]="",0,Table14[[#This Row],[Performance Rating]])</f>
        <v>5</v>
      </c>
      <c r="H105" s="17" t="s">
        <v>179</v>
      </c>
      <c r="I105" s="21" t="s">
        <v>223</v>
      </c>
    </row>
    <row r="106" spans="1:9" x14ac:dyDescent="0.3">
      <c r="A106" s="16" t="s">
        <v>113</v>
      </c>
      <c r="B106" s="17" t="str">
        <f>IF(Table14[[#This Row],[Name]]="","Unknown",Table14[[#This Row],[Name]])</f>
        <v>Jane Smith</v>
      </c>
      <c r="C106" s="17" t="str">
        <f>IF(Table14[[#This Row],[Department]]="","Unknown",Table14[[#This Row],[Department]])</f>
        <v>Unknown</v>
      </c>
      <c r="D106" s="17" t="str">
        <f>IF(Table14[[#This Row],[Country]]="","Unknown",Table14[[#This Row],[Country]])</f>
        <v>Australia</v>
      </c>
      <c r="E106" s="18">
        <v>61556</v>
      </c>
      <c r="F106" s="19">
        <f>IF(Table14[[#This Row],[Date of Joining]]="",MEDIAN(Table14[Date of Joining]),Table14[[#This Row],[Date of Joining]])</f>
        <v>42736</v>
      </c>
      <c r="G106" s="20">
        <f>IF(Table14[[#This Row],[Performance Rating]]="",0,Table14[[#This Row],[Performance Rating]])</f>
        <v>1</v>
      </c>
      <c r="H106" s="17" t="s">
        <v>178</v>
      </c>
      <c r="I106" s="21" t="s">
        <v>259</v>
      </c>
    </row>
    <row r="107" spans="1:9" x14ac:dyDescent="0.3">
      <c r="A107" s="16" t="s">
        <v>114</v>
      </c>
      <c r="B107" s="17" t="str">
        <f>IF(Table14[[#This Row],[Name]]="","Unknown",Table14[[#This Row],[Name]])</f>
        <v>Unknown</v>
      </c>
      <c r="C107" s="17" t="str">
        <f>IF(Table14[[#This Row],[Department]]="","Unknown",Table14[[#This Row],[Department]])</f>
        <v>HR</v>
      </c>
      <c r="D107" s="17" t="str">
        <f>IF(Table14[[#This Row],[Country]]="","Unknown",Table14[[#This Row],[Country]])</f>
        <v>UK</v>
      </c>
      <c r="E107" s="22">
        <v>87963</v>
      </c>
      <c r="F107" s="19">
        <f>IF(Table14[[#This Row],[Date of Joining]]="",MEDIAN(Table14[Date of Joining]),Table14[[#This Row],[Date of Joining]])</f>
        <v>42743</v>
      </c>
      <c r="G107" s="20">
        <f>IF(Table14[[#This Row],[Performance Rating]]="",0,Table14[[#This Row],[Performance Rating]])</f>
        <v>3</v>
      </c>
      <c r="H107" s="17" t="s">
        <v>179</v>
      </c>
      <c r="I107" s="21" t="s">
        <v>178</v>
      </c>
    </row>
    <row r="108" spans="1:9" x14ac:dyDescent="0.3">
      <c r="A108" s="16" t="s">
        <v>115</v>
      </c>
      <c r="B108" s="17" t="str">
        <f>IF(Table14[[#This Row],[Name]]="","Unknown",Table14[[#This Row],[Name]])</f>
        <v>Eve Adams</v>
      </c>
      <c r="C108" s="17" t="str">
        <f>IF(Table14[[#This Row],[Department]]="","Unknown",Table14[[#This Row],[Department]])</f>
        <v>IT</v>
      </c>
      <c r="D108" s="17" t="str">
        <f>IF(Table14[[#This Row],[Country]]="","Unknown",Table14[[#This Row],[Country]])</f>
        <v>Unknown</v>
      </c>
      <c r="E108" s="18">
        <v>48325</v>
      </c>
      <c r="F108" s="19">
        <f>IF(Table14[[#This Row],[Date of Joining]]="",MEDIAN(Table14[Date of Joining]),Table14[[#This Row],[Date of Joining]])</f>
        <v>42750</v>
      </c>
      <c r="G108" s="20">
        <f>IF(Table14[[#This Row],[Performance Rating]]="",0,Table14[[#This Row],[Performance Rating]])</f>
        <v>0</v>
      </c>
      <c r="H108" s="17" t="s">
        <v>180</v>
      </c>
      <c r="I108" s="21" t="s">
        <v>261</v>
      </c>
    </row>
    <row r="109" spans="1:9" x14ac:dyDescent="0.3">
      <c r="A109" s="16" t="s">
        <v>116</v>
      </c>
      <c r="B109" s="17" t="str">
        <f>IF(Table14[[#This Row],[Name]]="","Unknown",Table14[[#This Row],[Name]])</f>
        <v>Sam Wilson</v>
      </c>
      <c r="C109" s="17" t="str">
        <f>IF(Table14[[#This Row],[Department]]="","Unknown",Table14[[#This Row],[Department]])</f>
        <v>Marketing</v>
      </c>
      <c r="D109" s="17" t="str">
        <f>IF(Table14[[#This Row],[Country]]="","Unknown",Table14[[#This Row],[Country]])</f>
        <v>Australia</v>
      </c>
      <c r="E109" s="22">
        <v>86412</v>
      </c>
      <c r="F109" s="19">
        <f>IF(Table14[[#This Row],[Date of Joining]]="",MEDIAN(Table14[Date of Joining]),Table14[[#This Row],[Date of Joining]])</f>
        <v>42757</v>
      </c>
      <c r="G109" s="20">
        <f>IF(Table14[[#This Row],[Performance Rating]]="",0,Table14[[#This Row],[Performance Rating]])</f>
        <v>2</v>
      </c>
      <c r="H109" s="17" t="s">
        <v>181</v>
      </c>
      <c r="I109" s="21" t="s">
        <v>202</v>
      </c>
    </row>
    <row r="110" spans="1:9" x14ac:dyDescent="0.3">
      <c r="A110" s="16" t="s">
        <v>117</v>
      </c>
      <c r="B110" s="17" t="str">
        <f>IF(Table14[[#This Row],[Name]]="","Unknown",Table14[[#This Row],[Name]])</f>
        <v>Sam Wilson</v>
      </c>
      <c r="C110" s="17" t="str">
        <f>IF(Table14[[#This Row],[Department]]="","Unknown",Table14[[#This Row],[Department]])</f>
        <v>HR</v>
      </c>
      <c r="D110" s="17" t="str">
        <f>IF(Table14[[#This Row],[Country]]="","Unknown",Table14[[#This Row],[Country]])</f>
        <v>Unknown</v>
      </c>
      <c r="E110" s="18">
        <v>66761</v>
      </c>
      <c r="F110" s="19">
        <f>IF(Table14[[#This Row],[Date of Joining]]="",MEDIAN(Table14[Date of Joining]),Table14[[#This Row],[Date of Joining]])</f>
        <v>42764</v>
      </c>
      <c r="G110" s="20">
        <f>IF(Table14[[#This Row],[Performance Rating]]="",0,Table14[[#This Row],[Performance Rating]])</f>
        <v>1</v>
      </c>
      <c r="H110" s="17" t="s">
        <v>178</v>
      </c>
      <c r="I110" s="21" t="s">
        <v>262</v>
      </c>
    </row>
    <row r="111" spans="1:9" x14ac:dyDescent="0.3">
      <c r="A111" s="16" t="s">
        <v>118</v>
      </c>
      <c r="B111" s="17" t="str">
        <f>IF(Table14[[#This Row],[Name]]="","Unknown",Table14[[#This Row],[Name]])</f>
        <v>Jane Smith</v>
      </c>
      <c r="C111" s="17" t="str">
        <f>IF(Table14[[#This Row],[Department]]="","Unknown",Table14[[#This Row],[Department]])</f>
        <v>Unknown</v>
      </c>
      <c r="D111" s="17" t="str">
        <f>IF(Table14[[#This Row],[Country]]="","Unknown",Table14[[#This Row],[Country]])</f>
        <v>India</v>
      </c>
      <c r="E111" s="22">
        <v>88850</v>
      </c>
      <c r="F111" s="19">
        <f>IF(Table14[[#This Row],[Date of Joining]]="",MEDIAN(Table14[Date of Joining]),Table14[[#This Row],[Date of Joining]])</f>
        <v>42771</v>
      </c>
      <c r="G111" s="20">
        <f>IF(Table14[[#This Row],[Performance Rating]]="",0,Table14[[#This Row],[Performance Rating]])</f>
        <v>1</v>
      </c>
      <c r="H111" s="17" t="s">
        <v>181</v>
      </c>
      <c r="I111" s="21" t="s">
        <v>263</v>
      </c>
    </row>
    <row r="112" spans="1:9" x14ac:dyDescent="0.3">
      <c r="A112" s="16" t="s">
        <v>119</v>
      </c>
      <c r="B112" s="17" t="str">
        <f>IF(Table14[[#This Row],[Name]]="","Unknown",Table14[[#This Row],[Name]])</f>
        <v>Chris Lee</v>
      </c>
      <c r="C112" s="17" t="str">
        <f>IF(Table14[[#This Row],[Department]]="","Unknown",Table14[[#This Row],[Department]])</f>
        <v>Sales</v>
      </c>
      <c r="D112" s="17" t="str">
        <f>IF(Table14[[#This Row],[Country]]="","Unknown",Table14[[#This Row],[Country]])</f>
        <v>India</v>
      </c>
      <c r="E112" s="18">
        <v>31293</v>
      </c>
      <c r="F112" s="19">
        <f>IF(Table14[[#This Row],[Date of Joining]]="",MEDIAN(Table14[Date of Joining]),Table14[[#This Row],[Date of Joining]])</f>
        <v>42533</v>
      </c>
      <c r="G112" s="20">
        <f>IF(Table14[[#This Row],[Performance Rating]]="",0,Table14[[#This Row],[Performance Rating]])</f>
        <v>2</v>
      </c>
      <c r="H112" s="17" t="s">
        <v>181</v>
      </c>
      <c r="I112" s="21" t="s">
        <v>264</v>
      </c>
    </row>
    <row r="113" spans="1:9" x14ac:dyDescent="0.3">
      <c r="A113" s="16" t="s">
        <v>120</v>
      </c>
      <c r="B113" s="17" t="str">
        <f>IF(Table14[[#This Row],[Name]]="","Unknown",Table14[[#This Row],[Name]])</f>
        <v>Chris Lee</v>
      </c>
      <c r="C113" s="17" t="str">
        <f>IF(Table14[[#This Row],[Department]]="","Unknown",Table14[[#This Row],[Department]])</f>
        <v>IT</v>
      </c>
      <c r="D113" s="17" t="str">
        <f>IF(Table14[[#This Row],[Country]]="","Unknown",Table14[[#This Row],[Country]])</f>
        <v>USA</v>
      </c>
      <c r="E113" s="22">
        <v>34306</v>
      </c>
      <c r="F113" s="19">
        <f>IF(Table14[[#This Row],[Date of Joining]]="",MEDIAN(Table14[Date of Joining]),Table14[[#This Row],[Date of Joining]])</f>
        <v>42785</v>
      </c>
      <c r="G113" s="20">
        <f>IF(Table14[[#This Row],[Performance Rating]]="",0,Table14[[#This Row],[Performance Rating]])</f>
        <v>5</v>
      </c>
      <c r="H113" s="17" t="s">
        <v>181</v>
      </c>
      <c r="I113" s="21" t="s">
        <v>239</v>
      </c>
    </row>
    <row r="114" spans="1:9" x14ac:dyDescent="0.3">
      <c r="A114" s="16" t="s">
        <v>121</v>
      </c>
      <c r="B114" s="17" t="str">
        <f>IF(Table14[[#This Row],[Name]]="","Unknown",Table14[[#This Row],[Name]])</f>
        <v>Eve Adams</v>
      </c>
      <c r="C114" s="17" t="str">
        <f>IF(Table14[[#This Row],[Department]]="","Unknown",Table14[[#This Row],[Department]])</f>
        <v>Finance</v>
      </c>
      <c r="D114" s="17" t="str">
        <f>IF(Table14[[#This Row],[Country]]="","Unknown",Table14[[#This Row],[Country]])</f>
        <v>India</v>
      </c>
      <c r="E114" s="18">
        <v>78330</v>
      </c>
      <c r="F114" s="19">
        <f>IF(Table14[[#This Row],[Date of Joining]]="",MEDIAN(Table14[Date of Joining]),Table14[[#This Row],[Date of Joining]])</f>
        <v>42792</v>
      </c>
      <c r="G114" s="20">
        <f>IF(Table14[[#This Row],[Performance Rating]]="",0,Table14[[#This Row],[Performance Rating]])</f>
        <v>0</v>
      </c>
      <c r="H114" s="17" t="s">
        <v>179</v>
      </c>
      <c r="I114" s="21" t="s">
        <v>258</v>
      </c>
    </row>
    <row r="115" spans="1:9" x14ac:dyDescent="0.3">
      <c r="A115" s="16" t="s">
        <v>122</v>
      </c>
      <c r="B115" s="17" t="str">
        <f>IF(Table14[[#This Row],[Name]]="","Unknown",Table14[[#This Row],[Name]])</f>
        <v>Alice Brown</v>
      </c>
      <c r="C115" s="17" t="str">
        <f>IF(Table14[[#This Row],[Department]]="","Unknown",Table14[[#This Row],[Department]])</f>
        <v>IT</v>
      </c>
      <c r="D115" s="17" t="str">
        <f>IF(Table14[[#This Row],[Country]]="","Unknown",Table14[[#This Row],[Country]])</f>
        <v>USA</v>
      </c>
      <c r="E115" s="22">
        <v>47653</v>
      </c>
      <c r="F115" s="19">
        <f>IF(Table14[[#This Row],[Date of Joining]]="",MEDIAN(Table14[Date of Joining]),Table14[[#This Row],[Date of Joining]])</f>
        <v>42799</v>
      </c>
      <c r="G115" s="20">
        <f>IF(Table14[[#This Row],[Performance Rating]]="",0,Table14[[#This Row],[Performance Rating]])</f>
        <v>1</v>
      </c>
      <c r="H115" s="17" t="s">
        <v>180</v>
      </c>
      <c r="I115" s="21" t="s">
        <v>265</v>
      </c>
    </row>
    <row r="116" spans="1:9" x14ac:dyDescent="0.3">
      <c r="A116" s="16" t="s">
        <v>123</v>
      </c>
      <c r="B116" s="17" t="str">
        <f>IF(Table14[[#This Row],[Name]]="","Unknown",Table14[[#This Row],[Name]])</f>
        <v>Eve Adams</v>
      </c>
      <c r="C116" s="17" t="str">
        <f>IF(Table14[[#This Row],[Department]]="","Unknown",Table14[[#This Row],[Department]])</f>
        <v>Marketing</v>
      </c>
      <c r="D116" s="17" t="str">
        <f>IF(Table14[[#This Row],[Country]]="","Unknown",Table14[[#This Row],[Country]])</f>
        <v>UK</v>
      </c>
      <c r="E116" s="18">
        <v>44627</v>
      </c>
      <c r="F116" s="19">
        <f>IF(Table14[[#This Row],[Date of Joining]]="",MEDIAN(Table14[Date of Joining]),Table14[[#This Row],[Date of Joining]])</f>
        <v>42806</v>
      </c>
      <c r="G116" s="20">
        <f>IF(Table14[[#This Row],[Performance Rating]]="",0,Table14[[#This Row],[Performance Rating]])</f>
        <v>4</v>
      </c>
      <c r="H116" s="17" t="s">
        <v>178</v>
      </c>
      <c r="I116" s="21" t="s">
        <v>235</v>
      </c>
    </row>
    <row r="117" spans="1:9" x14ac:dyDescent="0.3">
      <c r="A117" s="16" t="s">
        <v>124</v>
      </c>
      <c r="B117" s="17" t="str">
        <f>IF(Table14[[#This Row],[Name]]="","Unknown",Table14[[#This Row],[Name]])</f>
        <v>Bob Johnson</v>
      </c>
      <c r="C117" s="17" t="str">
        <f>IF(Table14[[#This Row],[Department]]="","Unknown",Table14[[#This Row],[Department]])</f>
        <v>HR</v>
      </c>
      <c r="D117" s="17" t="str">
        <f>IF(Table14[[#This Row],[Country]]="","Unknown",Table14[[#This Row],[Country]])</f>
        <v>Germany</v>
      </c>
      <c r="E117" s="22">
        <v>92343</v>
      </c>
      <c r="F117" s="19">
        <f>IF(Table14[[#This Row],[Date of Joining]]="",MEDIAN(Table14[Date of Joining]),Table14[[#This Row],[Date of Joining]])</f>
        <v>42813</v>
      </c>
      <c r="G117" s="20">
        <f>IF(Table14[[#This Row],[Performance Rating]]="",0,Table14[[#This Row],[Performance Rating]])</f>
        <v>4</v>
      </c>
      <c r="H117" s="17" t="s">
        <v>181</v>
      </c>
      <c r="I117" s="21" t="s">
        <v>203</v>
      </c>
    </row>
    <row r="118" spans="1:9" x14ac:dyDescent="0.3">
      <c r="A118" s="16" t="s">
        <v>125</v>
      </c>
      <c r="B118" s="17" t="str">
        <f>IF(Table14[[#This Row],[Name]]="","Unknown",Table14[[#This Row],[Name]])</f>
        <v>Bob Johnson</v>
      </c>
      <c r="C118" s="17" t="str">
        <f>IF(Table14[[#This Row],[Department]]="","Unknown",Table14[[#This Row],[Department]])</f>
        <v>Marketing</v>
      </c>
      <c r="D118" s="17" t="str">
        <f>IF(Table14[[#This Row],[Country]]="","Unknown",Table14[[#This Row],[Country]])</f>
        <v>Australia</v>
      </c>
      <c r="E118" s="18">
        <v>38837</v>
      </c>
      <c r="F118" s="19">
        <f>IF(Table14[[#This Row],[Date of Joining]]="",MEDIAN(Table14[Date of Joining]),Table14[[#This Row],[Date of Joining]])</f>
        <v>42820</v>
      </c>
      <c r="G118" s="20">
        <f>IF(Table14[[#This Row],[Performance Rating]]="",0,Table14[[#This Row],[Performance Rating]])</f>
        <v>5</v>
      </c>
      <c r="H118" s="17" t="s">
        <v>181</v>
      </c>
      <c r="I118" s="21" t="s">
        <v>239</v>
      </c>
    </row>
    <row r="119" spans="1:9" x14ac:dyDescent="0.3">
      <c r="A119" s="16" t="s">
        <v>126</v>
      </c>
      <c r="B119" s="17" t="str">
        <f>IF(Table14[[#This Row],[Name]]="","Unknown",Table14[[#This Row],[Name]])</f>
        <v>Bob Johnson</v>
      </c>
      <c r="C119" s="17" t="str">
        <f>IF(Table14[[#This Row],[Department]]="","Unknown",Table14[[#This Row],[Department]])</f>
        <v>Marketing</v>
      </c>
      <c r="D119" s="17" t="str">
        <f>IF(Table14[[#This Row],[Country]]="","Unknown",Table14[[#This Row],[Country]])</f>
        <v>Unknown</v>
      </c>
      <c r="E119" s="22">
        <v>73483</v>
      </c>
      <c r="F119" s="19">
        <f>IF(Table14[[#This Row],[Date of Joining]]="",MEDIAN(Table14[Date of Joining]),Table14[[#This Row],[Date of Joining]])</f>
        <v>42827</v>
      </c>
      <c r="G119" s="20">
        <f>IF(Table14[[#This Row],[Performance Rating]]="",0,Table14[[#This Row],[Performance Rating]])</f>
        <v>1</v>
      </c>
      <c r="H119" s="17" t="s">
        <v>178</v>
      </c>
      <c r="I119" s="21" t="s">
        <v>266</v>
      </c>
    </row>
    <row r="120" spans="1:9" x14ac:dyDescent="0.3">
      <c r="A120" s="16" t="s">
        <v>127</v>
      </c>
      <c r="B120" s="17" t="str">
        <f>IF(Table14[[#This Row],[Name]]="","Unknown",Table14[[#This Row],[Name]])</f>
        <v>Chris Lee</v>
      </c>
      <c r="C120" s="17" t="str">
        <f>IF(Table14[[#This Row],[Department]]="","Unknown",Table14[[#This Row],[Department]])</f>
        <v>Sales</v>
      </c>
      <c r="D120" s="17" t="str">
        <f>IF(Table14[[#This Row],[Country]]="","Unknown",Table14[[#This Row],[Country]])</f>
        <v>India</v>
      </c>
      <c r="E120" s="18">
        <v>95032</v>
      </c>
      <c r="F120" s="19">
        <f>IF(Table14[[#This Row],[Date of Joining]]="",MEDIAN(Table14[Date of Joining]),Table14[[#This Row],[Date of Joining]])</f>
        <v>42834</v>
      </c>
      <c r="G120" s="20">
        <f>IF(Table14[[#This Row],[Performance Rating]]="",0,Table14[[#This Row],[Performance Rating]])</f>
        <v>3</v>
      </c>
      <c r="H120" s="17" t="s">
        <v>178</v>
      </c>
      <c r="I120" s="21" t="s">
        <v>267</v>
      </c>
    </row>
    <row r="121" spans="1:9" x14ac:dyDescent="0.3">
      <c r="A121" s="16" t="s">
        <v>128</v>
      </c>
      <c r="B121" s="17" t="str">
        <f>IF(Table14[[#This Row],[Name]]="","Unknown",Table14[[#This Row],[Name]])</f>
        <v>Eve Adams</v>
      </c>
      <c r="C121" s="17" t="str">
        <f>IF(Table14[[#This Row],[Department]]="","Unknown",Table14[[#This Row],[Department]])</f>
        <v>Sales</v>
      </c>
      <c r="D121" s="17" t="str">
        <f>IF(Table14[[#This Row],[Country]]="","Unknown",Table14[[#This Row],[Country]])</f>
        <v>Australia</v>
      </c>
      <c r="E121" s="22">
        <v>44358</v>
      </c>
      <c r="F121" s="19">
        <f>IF(Table14[[#This Row],[Date of Joining]]="",MEDIAN(Table14[Date of Joining]),Table14[[#This Row],[Date of Joining]])</f>
        <v>42841</v>
      </c>
      <c r="G121" s="20">
        <f>IF(Table14[[#This Row],[Performance Rating]]="",0,Table14[[#This Row],[Performance Rating]])</f>
        <v>0</v>
      </c>
      <c r="H121" s="17" t="s">
        <v>181</v>
      </c>
      <c r="I121" s="21" t="s">
        <v>200</v>
      </c>
    </row>
    <row r="122" spans="1:9" x14ac:dyDescent="0.3">
      <c r="A122" s="16" t="s">
        <v>129</v>
      </c>
      <c r="B122" s="17" t="str">
        <f>IF(Table14[[#This Row],[Name]]="","Unknown",Table14[[#This Row],[Name]])</f>
        <v>Unknown</v>
      </c>
      <c r="C122" s="17" t="str">
        <f>IF(Table14[[#This Row],[Department]]="","Unknown",Table14[[#This Row],[Department]])</f>
        <v>IT</v>
      </c>
      <c r="D122" s="17" t="str">
        <f>IF(Table14[[#This Row],[Country]]="","Unknown",Table14[[#This Row],[Country]])</f>
        <v>USA</v>
      </c>
      <c r="E122" s="18">
        <v>66157.5</v>
      </c>
      <c r="F122" s="19">
        <f>IF(Table14[[#This Row],[Date of Joining]]="",MEDIAN(Table14[Date of Joining]),Table14[[#This Row],[Date of Joining]])</f>
        <v>42533</v>
      </c>
      <c r="G122" s="20">
        <f>IF(Table14[[#This Row],[Performance Rating]]="",0,Table14[[#This Row],[Performance Rating]])</f>
        <v>5</v>
      </c>
      <c r="H122" s="17" t="s">
        <v>178</v>
      </c>
      <c r="I122" s="21" t="s">
        <v>268</v>
      </c>
    </row>
    <row r="123" spans="1:9" x14ac:dyDescent="0.3">
      <c r="A123" s="16" t="s">
        <v>130</v>
      </c>
      <c r="B123" s="17" t="str">
        <f>IF(Table14[[#This Row],[Name]]="","Unknown",Table14[[#This Row],[Name]])</f>
        <v>Chris Lee</v>
      </c>
      <c r="C123" s="17" t="str">
        <f>IF(Table14[[#This Row],[Department]]="","Unknown",Table14[[#This Row],[Department]])</f>
        <v>Sales</v>
      </c>
      <c r="D123" s="17" t="str">
        <f>IF(Table14[[#This Row],[Country]]="","Unknown",Table14[[#This Row],[Country]])</f>
        <v>USA</v>
      </c>
      <c r="E123" s="22">
        <v>45676</v>
      </c>
      <c r="F123" s="19">
        <f>IF(Table14[[#This Row],[Date of Joining]]="",MEDIAN(Table14[Date of Joining]),Table14[[#This Row],[Date of Joining]])</f>
        <v>42855</v>
      </c>
      <c r="G123" s="20">
        <f>IF(Table14[[#This Row],[Performance Rating]]="",0,Table14[[#This Row],[Performance Rating]])</f>
        <v>2</v>
      </c>
      <c r="H123" s="17" t="s">
        <v>178</v>
      </c>
      <c r="I123" s="21" t="s">
        <v>269</v>
      </c>
    </row>
    <row r="124" spans="1:9" x14ac:dyDescent="0.3">
      <c r="A124" s="16" t="s">
        <v>131</v>
      </c>
      <c r="B124" s="17" t="str">
        <f>IF(Table14[[#This Row],[Name]]="","Unknown",Table14[[#This Row],[Name]])</f>
        <v>Bob Johnson</v>
      </c>
      <c r="C124" s="17" t="str">
        <f>IF(Table14[[#This Row],[Department]]="","Unknown",Table14[[#This Row],[Department]])</f>
        <v>Sales</v>
      </c>
      <c r="D124" s="17" t="str">
        <f>IF(Table14[[#This Row],[Country]]="","Unknown",Table14[[#This Row],[Country]])</f>
        <v>Germany</v>
      </c>
      <c r="E124" s="18">
        <v>52036</v>
      </c>
      <c r="F124" s="19">
        <f>IF(Table14[[#This Row],[Date of Joining]]="",MEDIAN(Table14[Date of Joining]),Table14[[#This Row],[Date of Joining]])</f>
        <v>42862</v>
      </c>
      <c r="G124" s="20">
        <f>IF(Table14[[#This Row],[Performance Rating]]="",0,Table14[[#This Row],[Performance Rating]])</f>
        <v>3</v>
      </c>
      <c r="H124" s="17" t="s">
        <v>180</v>
      </c>
      <c r="I124" s="21" t="s">
        <v>270</v>
      </c>
    </row>
    <row r="125" spans="1:9" x14ac:dyDescent="0.3">
      <c r="A125" s="16" t="s">
        <v>132</v>
      </c>
      <c r="B125" s="17" t="str">
        <f>IF(Table14[[#This Row],[Name]]="","Unknown",Table14[[#This Row],[Name]])</f>
        <v>Jane Smith</v>
      </c>
      <c r="C125" s="17" t="str">
        <f>IF(Table14[[#This Row],[Department]]="","Unknown",Table14[[#This Row],[Department]])</f>
        <v>Unknown</v>
      </c>
      <c r="D125" s="17" t="str">
        <f>IF(Table14[[#This Row],[Country]]="","Unknown",Table14[[#This Row],[Country]])</f>
        <v>Germany</v>
      </c>
      <c r="E125" s="22">
        <v>30357</v>
      </c>
      <c r="F125" s="19">
        <f>IF(Table14[[#This Row],[Date of Joining]]="",MEDIAN(Table14[Date of Joining]),Table14[[#This Row],[Date of Joining]])</f>
        <v>42869</v>
      </c>
      <c r="G125" s="20">
        <f>IF(Table14[[#This Row],[Performance Rating]]="",0,Table14[[#This Row],[Performance Rating]])</f>
        <v>5</v>
      </c>
      <c r="H125" s="17" t="s">
        <v>180</v>
      </c>
      <c r="I125" s="21" t="s">
        <v>248</v>
      </c>
    </row>
    <row r="126" spans="1:9" x14ac:dyDescent="0.3">
      <c r="A126" s="16" t="s">
        <v>133</v>
      </c>
      <c r="B126" s="17" t="str">
        <f>IF(Table14[[#This Row],[Name]]="","Unknown",Table14[[#This Row],[Name]])</f>
        <v>John Doe</v>
      </c>
      <c r="C126" s="17" t="str">
        <f>IF(Table14[[#This Row],[Department]]="","Unknown",Table14[[#This Row],[Department]])</f>
        <v>IT</v>
      </c>
      <c r="D126" s="17" t="str">
        <f>IF(Table14[[#This Row],[Country]]="","Unknown",Table14[[#This Row],[Country]])</f>
        <v>Unknown</v>
      </c>
      <c r="E126" s="18">
        <v>60034</v>
      </c>
      <c r="F126" s="19">
        <f>IF(Table14[[#This Row],[Date of Joining]]="",MEDIAN(Table14[Date of Joining]),Table14[[#This Row],[Date of Joining]])</f>
        <v>42876</v>
      </c>
      <c r="G126" s="20">
        <f>IF(Table14[[#This Row],[Performance Rating]]="",0,Table14[[#This Row],[Performance Rating]])</f>
        <v>1</v>
      </c>
      <c r="H126" s="17" t="s">
        <v>181</v>
      </c>
      <c r="I126" s="21" t="s">
        <v>271</v>
      </c>
    </row>
    <row r="127" spans="1:9" x14ac:dyDescent="0.3">
      <c r="A127" s="16" t="s">
        <v>134</v>
      </c>
      <c r="B127" s="17" t="str">
        <f>IF(Table14[[#This Row],[Name]]="","Unknown",Table14[[#This Row],[Name]])</f>
        <v>John Doe</v>
      </c>
      <c r="C127" s="17" t="str">
        <f>IF(Table14[[#This Row],[Department]]="","Unknown",Table14[[#This Row],[Department]])</f>
        <v>Finance</v>
      </c>
      <c r="D127" s="17" t="str">
        <f>IF(Table14[[#This Row],[Country]]="","Unknown",Table14[[#This Row],[Country]])</f>
        <v>Unknown</v>
      </c>
      <c r="E127" s="22">
        <v>90019</v>
      </c>
      <c r="F127" s="19">
        <f>IF(Table14[[#This Row],[Date of Joining]]="",MEDIAN(Table14[Date of Joining]),Table14[[#This Row],[Date of Joining]])</f>
        <v>42883</v>
      </c>
      <c r="G127" s="20">
        <f>IF(Table14[[#This Row],[Performance Rating]]="",0,Table14[[#This Row],[Performance Rating]])</f>
        <v>5</v>
      </c>
      <c r="H127" s="17" t="s">
        <v>178</v>
      </c>
      <c r="I127" s="21" t="s">
        <v>272</v>
      </c>
    </row>
    <row r="128" spans="1:9" x14ac:dyDescent="0.3">
      <c r="A128" s="16" t="s">
        <v>135</v>
      </c>
      <c r="B128" s="17" t="str">
        <f>IF(Table14[[#This Row],[Name]]="","Unknown",Table14[[#This Row],[Name]])</f>
        <v>Bob Johnson</v>
      </c>
      <c r="C128" s="17" t="str">
        <f>IF(Table14[[#This Row],[Department]]="","Unknown",Table14[[#This Row],[Department]])</f>
        <v>Unknown</v>
      </c>
      <c r="D128" s="17" t="str">
        <f>IF(Table14[[#This Row],[Country]]="","Unknown",Table14[[#This Row],[Country]])</f>
        <v>Germany</v>
      </c>
      <c r="E128" s="18">
        <v>71494</v>
      </c>
      <c r="F128" s="19">
        <f>IF(Table14[[#This Row],[Date of Joining]]="",MEDIAN(Table14[Date of Joining]),Table14[[#This Row],[Date of Joining]])</f>
        <v>42890</v>
      </c>
      <c r="G128" s="20">
        <f>IF(Table14[[#This Row],[Performance Rating]]="",0,Table14[[#This Row],[Performance Rating]])</f>
        <v>3</v>
      </c>
      <c r="H128" s="17" t="s">
        <v>180</v>
      </c>
      <c r="I128" s="21" t="s">
        <v>273</v>
      </c>
    </row>
    <row r="129" spans="1:9" x14ac:dyDescent="0.3">
      <c r="A129" s="16" t="s">
        <v>136</v>
      </c>
      <c r="B129" s="17" t="str">
        <f>IF(Table14[[#This Row],[Name]]="","Unknown",Table14[[#This Row],[Name]])</f>
        <v>John Doe</v>
      </c>
      <c r="C129" s="17" t="str">
        <f>IF(Table14[[#This Row],[Department]]="","Unknown",Table14[[#This Row],[Department]])</f>
        <v>Finance</v>
      </c>
      <c r="D129" s="17" t="str">
        <f>IF(Table14[[#This Row],[Country]]="","Unknown",Table14[[#This Row],[Country]])</f>
        <v>USA</v>
      </c>
      <c r="E129" s="22">
        <v>91953</v>
      </c>
      <c r="F129" s="19">
        <f>IF(Table14[[#This Row],[Date of Joining]]="",MEDIAN(Table14[Date of Joining]),Table14[[#This Row],[Date of Joining]])</f>
        <v>42897</v>
      </c>
      <c r="G129" s="20">
        <f>IF(Table14[[#This Row],[Performance Rating]]="",0,Table14[[#This Row],[Performance Rating]])</f>
        <v>2</v>
      </c>
      <c r="H129" s="17" t="s">
        <v>180</v>
      </c>
      <c r="I129" s="21" t="s">
        <v>209</v>
      </c>
    </row>
    <row r="130" spans="1:9" x14ac:dyDescent="0.3">
      <c r="A130" s="16" t="s">
        <v>137</v>
      </c>
      <c r="B130" s="17" t="str">
        <f>IF(Table14[[#This Row],[Name]]="","Unknown",Table14[[#This Row],[Name]])</f>
        <v>Chris Lee</v>
      </c>
      <c r="C130" s="17" t="str">
        <f>IF(Table14[[#This Row],[Department]]="","Unknown",Table14[[#This Row],[Department]])</f>
        <v>Sales</v>
      </c>
      <c r="D130" s="17" t="str">
        <f>IF(Table14[[#This Row],[Country]]="","Unknown",Table14[[#This Row],[Country]])</f>
        <v>USA</v>
      </c>
      <c r="E130" s="18">
        <v>30402</v>
      </c>
      <c r="F130" s="19">
        <f>IF(Table14[[#This Row],[Date of Joining]]="",MEDIAN(Table14[Date of Joining]),Table14[[#This Row],[Date of Joining]])</f>
        <v>42904</v>
      </c>
      <c r="G130" s="20">
        <f>IF(Table14[[#This Row],[Performance Rating]]="",0,Table14[[#This Row],[Performance Rating]])</f>
        <v>1</v>
      </c>
      <c r="H130" s="17" t="s">
        <v>178</v>
      </c>
      <c r="I130" s="21" t="s">
        <v>274</v>
      </c>
    </row>
    <row r="131" spans="1:9" x14ac:dyDescent="0.3">
      <c r="A131" s="16" t="s">
        <v>138</v>
      </c>
      <c r="B131" s="17" t="str">
        <f>IF(Table14[[#This Row],[Name]]="","Unknown",Table14[[#This Row],[Name]])</f>
        <v>Bob Johnson</v>
      </c>
      <c r="C131" s="17" t="str">
        <f>IF(Table14[[#This Row],[Department]]="","Unknown",Table14[[#This Row],[Department]])</f>
        <v>Unknown</v>
      </c>
      <c r="D131" s="17" t="str">
        <f>IF(Table14[[#This Row],[Country]]="","Unknown",Table14[[#This Row],[Country]])</f>
        <v>UK</v>
      </c>
      <c r="E131" s="22">
        <v>62994</v>
      </c>
      <c r="F131" s="19">
        <f>IF(Table14[[#This Row],[Date of Joining]]="",MEDIAN(Table14[Date of Joining]),Table14[[#This Row],[Date of Joining]])</f>
        <v>42911</v>
      </c>
      <c r="G131" s="20">
        <f>IF(Table14[[#This Row],[Performance Rating]]="",0,Table14[[#This Row],[Performance Rating]])</f>
        <v>0</v>
      </c>
      <c r="H131" s="17" t="s">
        <v>178</v>
      </c>
      <c r="I131" s="21" t="s">
        <v>221</v>
      </c>
    </row>
    <row r="132" spans="1:9" x14ac:dyDescent="0.3">
      <c r="A132" s="16" t="s">
        <v>139</v>
      </c>
      <c r="B132" s="17" t="str">
        <f>IF(Table14[[#This Row],[Name]]="","Unknown",Table14[[#This Row],[Name]])</f>
        <v>Alice Brown</v>
      </c>
      <c r="C132" s="17" t="str">
        <f>IF(Table14[[#This Row],[Department]]="","Unknown",Table14[[#This Row],[Department]])</f>
        <v>Sales</v>
      </c>
      <c r="D132" s="17" t="str">
        <f>IF(Table14[[#This Row],[Country]]="","Unknown",Table14[[#This Row],[Country]])</f>
        <v>India</v>
      </c>
      <c r="E132" s="18">
        <v>48289</v>
      </c>
      <c r="F132" s="19">
        <f>IF(Table14[[#This Row],[Date of Joining]]="",MEDIAN(Table14[Date of Joining]),Table14[[#This Row],[Date of Joining]])</f>
        <v>42533</v>
      </c>
      <c r="G132" s="20">
        <f>IF(Table14[[#This Row],[Performance Rating]]="",0,Table14[[#This Row],[Performance Rating]])</f>
        <v>3</v>
      </c>
      <c r="H132" s="17" t="s">
        <v>180</v>
      </c>
      <c r="I132" s="21" t="s">
        <v>189</v>
      </c>
    </row>
    <row r="133" spans="1:9" x14ac:dyDescent="0.3">
      <c r="A133" s="16" t="s">
        <v>140</v>
      </c>
      <c r="B133" s="17" t="str">
        <f>IF(Table14[[#This Row],[Name]]="","Unknown",Table14[[#This Row],[Name]])</f>
        <v>Sam Wilson</v>
      </c>
      <c r="C133" s="17" t="str">
        <f>IF(Table14[[#This Row],[Department]]="","Unknown",Table14[[#This Row],[Department]])</f>
        <v>Marketing</v>
      </c>
      <c r="D133" s="17" t="str">
        <f>IF(Table14[[#This Row],[Country]]="","Unknown",Table14[[#This Row],[Country]])</f>
        <v>Germany</v>
      </c>
      <c r="E133" s="22">
        <v>34402</v>
      </c>
      <c r="F133" s="19">
        <f>IF(Table14[[#This Row],[Date of Joining]]="",MEDIAN(Table14[Date of Joining]),Table14[[#This Row],[Date of Joining]])</f>
        <v>42925</v>
      </c>
      <c r="G133" s="20">
        <f>IF(Table14[[#This Row],[Performance Rating]]="",0,Table14[[#This Row],[Performance Rating]])</f>
        <v>3</v>
      </c>
      <c r="H133" s="17" t="s">
        <v>179</v>
      </c>
      <c r="I133" s="21" t="s">
        <v>218</v>
      </c>
    </row>
    <row r="134" spans="1:9" x14ac:dyDescent="0.3">
      <c r="A134" s="16" t="s">
        <v>141</v>
      </c>
      <c r="B134" s="17" t="str">
        <f>IF(Table14[[#This Row],[Name]]="","Unknown",Table14[[#This Row],[Name]])</f>
        <v>Eve Adams</v>
      </c>
      <c r="C134" s="17" t="str">
        <f>IF(Table14[[#This Row],[Department]]="","Unknown",Table14[[#This Row],[Department]])</f>
        <v>HR</v>
      </c>
      <c r="D134" s="17" t="str">
        <f>IF(Table14[[#This Row],[Country]]="","Unknown",Table14[[#This Row],[Country]])</f>
        <v>USA</v>
      </c>
      <c r="E134" s="18">
        <v>38678</v>
      </c>
      <c r="F134" s="19">
        <f>IF(Table14[[#This Row],[Date of Joining]]="",MEDIAN(Table14[Date of Joining]),Table14[[#This Row],[Date of Joining]])</f>
        <v>42932</v>
      </c>
      <c r="G134" s="20">
        <f>IF(Table14[[#This Row],[Performance Rating]]="",0,Table14[[#This Row],[Performance Rating]])</f>
        <v>3</v>
      </c>
      <c r="H134" s="17" t="s">
        <v>179</v>
      </c>
      <c r="I134" s="21" t="s">
        <v>275</v>
      </c>
    </row>
    <row r="135" spans="1:9" x14ac:dyDescent="0.3">
      <c r="A135" s="16" t="s">
        <v>142</v>
      </c>
      <c r="B135" s="17" t="str">
        <f>IF(Table14[[#This Row],[Name]]="","Unknown",Table14[[#This Row],[Name]])</f>
        <v>Chris Lee</v>
      </c>
      <c r="C135" s="17" t="str">
        <f>IF(Table14[[#This Row],[Department]]="","Unknown",Table14[[#This Row],[Department]])</f>
        <v>HR</v>
      </c>
      <c r="D135" s="17" t="str">
        <f>IF(Table14[[#This Row],[Country]]="","Unknown",Table14[[#This Row],[Country]])</f>
        <v>Germany</v>
      </c>
      <c r="E135" s="22">
        <v>45758</v>
      </c>
      <c r="F135" s="19">
        <f>IF(Table14[[#This Row],[Date of Joining]]="",MEDIAN(Table14[Date of Joining]),Table14[[#This Row],[Date of Joining]])</f>
        <v>42939</v>
      </c>
      <c r="G135" s="20">
        <f>IF(Table14[[#This Row],[Performance Rating]]="",0,Table14[[#This Row],[Performance Rating]])</f>
        <v>3</v>
      </c>
      <c r="H135" s="17" t="s">
        <v>178</v>
      </c>
      <c r="I135" s="21" t="s">
        <v>264</v>
      </c>
    </row>
    <row r="136" spans="1:9" x14ac:dyDescent="0.3">
      <c r="A136" s="16" t="s">
        <v>143</v>
      </c>
      <c r="B136" s="17" t="str">
        <f>IF(Table14[[#This Row],[Name]]="","Unknown",Table14[[#This Row],[Name]])</f>
        <v>Eve Adams</v>
      </c>
      <c r="C136" s="17" t="str">
        <f>IF(Table14[[#This Row],[Department]]="","Unknown",Table14[[#This Row],[Department]])</f>
        <v>Marketing</v>
      </c>
      <c r="D136" s="17" t="str">
        <f>IF(Table14[[#This Row],[Country]]="","Unknown",Table14[[#This Row],[Country]])</f>
        <v>India</v>
      </c>
      <c r="E136" s="18">
        <v>62476</v>
      </c>
      <c r="F136" s="19">
        <f>IF(Table14[[#This Row],[Date of Joining]]="",MEDIAN(Table14[Date of Joining]),Table14[[#This Row],[Date of Joining]])</f>
        <v>42946</v>
      </c>
      <c r="G136" s="20">
        <f>IF(Table14[[#This Row],[Performance Rating]]="",0,Table14[[#This Row],[Performance Rating]])</f>
        <v>1</v>
      </c>
      <c r="H136" s="17" t="s">
        <v>179</v>
      </c>
      <c r="I136" s="21" t="s">
        <v>231</v>
      </c>
    </row>
    <row r="137" spans="1:9" x14ac:dyDescent="0.3">
      <c r="A137" s="16" t="s">
        <v>144</v>
      </c>
      <c r="B137" s="17" t="str">
        <f>IF(Table14[[#This Row],[Name]]="","Unknown",Table14[[#This Row],[Name]])</f>
        <v>Unknown</v>
      </c>
      <c r="C137" s="17" t="str">
        <f>IF(Table14[[#This Row],[Department]]="","Unknown",Table14[[#This Row],[Department]])</f>
        <v>IT</v>
      </c>
      <c r="D137" s="17" t="str">
        <f>IF(Table14[[#This Row],[Country]]="","Unknown",Table14[[#This Row],[Country]])</f>
        <v>UK</v>
      </c>
      <c r="E137" s="22">
        <v>39280</v>
      </c>
      <c r="F137" s="19">
        <f>IF(Table14[[#This Row],[Date of Joining]]="",MEDIAN(Table14[Date of Joining]),Table14[[#This Row],[Date of Joining]])</f>
        <v>42953</v>
      </c>
      <c r="G137" s="20">
        <f>IF(Table14[[#This Row],[Performance Rating]]="",0,Table14[[#This Row],[Performance Rating]])</f>
        <v>3</v>
      </c>
      <c r="H137" s="17" t="s">
        <v>181</v>
      </c>
      <c r="I137" s="21" t="s">
        <v>214</v>
      </c>
    </row>
    <row r="138" spans="1:9" x14ac:dyDescent="0.3">
      <c r="A138" s="16" t="s">
        <v>145</v>
      </c>
      <c r="B138" s="17" t="str">
        <f>IF(Table14[[#This Row],[Name]]="","Unknown",Table14[[#This Row],[Name]])</f>
        <v>Jane Smith</v>
      </c>
      <c r="C138" s="17" t="str">
        <f>IF(Table14[[#This Row],[Department]]="","Unknown",Table14[[#This Row],[Department]])</f>
        <v>Finance</v>
      </c>
      <c r="D138" s="17" t="str">
        <f>IF(Table14[[#This Row],[Country]]="","Unknown",Table14[[#This Row],[Country]])</f>
        <v>India</v>
      </c>
      <c r="E138" s="18">
        <v>60335</v>
      </c>
      <c r="F138" s="19">
        <f>IF(Table14[[#This Row],[Date of Joining]]="",MEDIAN(Table14[Date of Joining]),Table14[[#This Row],[Date of Joining]])</f>
        <v>42960</v>
      </c>
      <c r="G138" s="20">
        <f>IF(Table14[[#This Row],[Performance Rating]]="",0,Table14[[#This Row],[Performance Rating]])</f>
        <v>4</v>
      </c>
      <c r="H138" s="17" t="s">
        <v>179</v>
      </c>
      <c r="I138" s="21" t="s">
        <v>227</v>
      </c>
    </row>
    <row r="139" spans="1:9" x14ac:dyDescent="0.3">
      <c r="A139" s="16" t="s">
        <v>146</v>
      </c>
      <c r="B139" s="17" t="str">
        <f>IF(Table14[[#This Row],[Name]]="","Unknown",Table14[[#This Row],[Name]])</f>
        <v>Chris Lee</v>
      </c>
      <c r="C139" s="17" t="str">
        <f>IF(Table14[[#This Row],[Department]]="","Unknown",Table14[[#This Row],[Department]])</f>
        <v>HR</v>
      </c>
      <c r="D139" s="17" t="str">
        <f>IF(Table14[[#This Row],[Country]]="","Unknown",Table14[[#This Row],[Country]])</f>
        <v>Germany</v>
      </c>
      <c r="E139" s="22">
        <v>84968</v>
      </c>
      <c r="F139" s="19">
        <f>IF(Table14[[#This Row],[Date of Joining]]="",MEDIAN(Table14[Date of Joining]),Table14[[#This Row],[Date of Joining]])</f>
        <v>42967</v>
      </c>
      <c r="G139" s="20">
        <f>IF(Table14[[#This Row],[Performance Rating]]="",0,Table14[[#This Row],[Performance Rating]])</f>
        <v>0</v>
      </c>
      <c r="H139" s="17" t="s">
        <v>178</v>
      </c>
      <c r="I139" s="21" t="s">
        <v>276</v>
      </c>
    </row>
    <row r="140" spans="1:9" x14ac:dyDescent="0.3">
      <c r="A140" s="16" t="s">
        <v>147</v>
      </c>
      <c r="B140" s="17" t="str">
        <f>IF(Table14[[#This Row],[Name]]="","Unknown",Table14[[#This Row],[Name]])</f>
        <v>Chris Lee</v>
      </c>
      <c r="C140" s="17" t="str">
        <f>IF(Table14[[#This Row],[Department]]="","Unknown",Table14[[#This Row],[Department]])</f>
        <v>Marketing</v>
      </c>
      <c r="D140" s="17" t="str">
        <f>IF(Table14[[#This Row],[Country]]="","Unknown",Table14[[#This Row],[Country]])</f>
        <v>Australia</v>
      </c>
      <c r="E140" s="18">
        <v>84750</v>
      </c>
      <c r="F140" s="19">
        <f>IF(Table14[[#This Row],[Date of Joining]]="",MEDIAN(Table14[Date of Joining]),Table14[[#This Row],[Date of Joining]])</f>
        <v>42974</v>
      </c>
      <c r="G140" s="20">
        <f>IF(Table14[[#This Row],[Performance Rating]]="",0,Table14[[#This Row],[Performance Rating]])</f>
        <v>4</v>
      </c>
      <c r="H140" s="17" t="s">
        <v>181</v>
      </c>
      <c r="I140" s="21" t="s">
        <v>195</v>
      </c>
    </row>
    <row r="141" spans="1:9" x14ac:dyDescent="0.3">
      <c r="A141" s="16" t="s">
        <v>148</v>
      </c>
      <c r="B141" s="17" t="str">
        <f>IF(Table14[[#This Row],[Name]]="","Unknown",Table14[[#This Row],[Name]])</f>
        <v>Bob Johnson</v>
      </c>
      <c r="C141" s="17" t="str">
        <f>IF(Table14[[#This Row],[Department]]="","Unknown",Table14[[#This Row],[Department]])</f>
        <v>IT</v>
      </c>
      <c r="D141" s="17" t="str">
        <f>IF(Table14[[#This Row],[Country]]="","Unknown",Table14[[#This Row],[Country]])</f>
        <v>Unknown</v>
      </c>
      <c r="E141" s="22">
        <v>73348</v>
      </c>
      <c r="F141" s="19">
        <f>IF(Table14[[#This Row],[Date of Joining]]="",MEDIAN(Table14[Date of Joining]),Table14[[#This Row],[Date of Joining]])</f>
        <v>42981</v>
      </c>
      <c r="G141" s="20">
        <f>IF(Table14[[#This Row],[Performance Rating]]="",0,Table14[[#This Row],[Performance Rating]])</f>
        <v>2</v>
      </c>
      <c r="H141" s="17" t="s">
        <v>178</v>
      </c>
      <c r="I141" s="21" t="s">
        <v>243</v>
      </c>
    </row>
    <row r="142" spans="1:9" x14ac:dyDescent="0.3">
      <c r="A142" s="16" t="s">
        <v>149</v>
      </c>
      <c r="B142" s="17" t="str">
        <f>IF(Table14[[#This Row],[Name]]="","Unknown",Table14[[#This Row],[Name]])</f>
        <v>Chris Lee</v>
      </c>
      <c r="C142" s="17" t="str">
        <f>IF(Table14[[#This Row],[Department]]="","Unknown",Table14[[#This Row],[Department]])</f>
        <v>Sales</v>
      </c>
      <c r="D142" s="17" t="str">
        <f>IF(Table14[[#This Row],[Country]]="","Unknown",Table14[[#This Row],[Country]])</f>
        <v>USA</v>
      </c>
      <c r="E142" s="18">
        <v>67929.08</v>
      </c>
      <c r="F142" s="19">
        <f>IF(Table14[[#This Row],[Date of Joining]]="",MEDIAN(Table14[Date of Joining]),Table14[[#This Row],[Date of Joining]])</f>
        <v>42988</v>
      </c>
      <c r="G142" s="20">
        <f>IF(Table14[[#This Row],[Performance Rating]]="",0,Table14[[#This Row],[Performance Rating]])</f>
        <v>4</v>
      </c>
      <c r="H142" s="17" t="s">
        <v>179</v>
      </c>
      <c r="I142" s="21" t="s">
        <v>178</v>
      </c>
    </row>
    <row r="143" spans="1:9" x14ac:dyDescent="0.3">
      <c r="A143" s="16" t="s">
        <v>150</v>
      </c>
      <c r="B143" s="17" t="str">
        <f>IF(Table14[[#This Row],[Name]]="","Unknown",Table14[[#This Row],[Name]])</f>
        <v>Jane Smith</v>
      </c>
      <c r="C143" s="17" t="str">
        <f>IF(Table14[[#This Row],[Department]]="","Unknown",Table14[[#This Row],[Department]])</f>
        <v>Marketing</v>
      </c>
      <c r="D143" s="17" t="str">
        <f>IF(Table14[[#This Row],[Country]]="","Unknown",Table14[[#This Row],[Country]])</f>
        <v>USA</v>
      </c>
      <c r="E143" s="22">
        <v>66882</v>
      </c>
      <c r="F143" s="19">
        <f>IF(Table14[[#This Row],[Date of Joining]]="",MEDIAN(Table14[Date of Joining]),Table14[[#This Row],[Date of Joining]])</f>
        <v>42995</v>
      </c>
      <c r="G143" s="20">
        <f>IF(Table14[[#This Row],[Performance Rating]]="",0,Table14[[#This Row],[Performance Rating]])</f>
        <v>5</v>
      </c>
      <c r="H143" s="17" t="s">
        <v>179</v>
      </c>
      <c r="I143" s="21" t="s">
        <v>207</v>
      </c>
    </row>
    <row r="144" spans="1:9" x14ac:dyDescent="0.3">
      <c r="A144" s="16" t="s">
        <v>151</v>
      </c>
      <c r="B144" s="17" t="str">
        <f>IF(Table14[[#This Row],[Name]]="","Unknown",Table14[[#This Row],[Name]])</f>
        <v>Alice Brown</v>
      </c>
      <c r="C144" s="17" t="str">
        <f>IF(Table14[[#This Row],[Department]]="","Unknown",Table14[[#This Row],[Department]])</f>
        <v>Marketing</v>
      </c>
      <c r="D144" s="17" t="str">
        <f>IF(Table14[[#This Row],[Country]]="","Unknown",Table14[[#This Row],[Country]])</f>
        <v>Unknown</v>
      </c>
      <c r="E144" s="18">
        <v>86775</v>
      </c>
      <c r="F144" s="19">
        <f>IF(Table14[[#This Row],[Date of Joining]]="",MEDIAN(Table14[Date of Joining]),Table14[[#This Row],[Date of Joining]])</f>
        <v>43002</v>
      </c>
      <c r="G144" s="20">
        <f>IF(Table14[[#This Row],[Performance Rating]]="",0,Table14[[#This Row],[Performance Rating]])</f>
        <v>3</v>
      </c>
      <c r="H144" s="17" t="s">
        <v>179</v>
      </c>
      <c r="I144" s="21" t="s">
        <v>212</v>
      </c>
    </row>
    <row r="145" spans="1:9" x14ac:dyDescent="0.3">
      <c r="A145" s="16" t="s">
        <v>152</v>
      </c>
      <c r="B145" s="17" t="str">
        <f>IF(Table14[[#This Row],[Name]]="","Unknown",Table14[[#This Row],[Name]])</f>
        <v>Chris Lee</v>
      </c>
      <c r="C145" s="17" t="str">
        <f>IF(Table14[[#This Row],[Department]]="","Unknown",Table14[[#This Row],[Department]])</f>
        <v>Sales</v>
      </c>
      <c r="D145" s="17" t="str">
        <f>IF(Table14[[#This Row],[Country]]="","Unknown",Table14[[#This Row],[Country]])</f>
        <v>UK</v>
      </c>
      <c r="E145" s="22">
        <v>91620</v>
      </c>
      <c r="F145" s="19">
        <f>IF(Table14[[#This Row],[Date of Joining]]="",MEDIAN(Table14[Date of Joining]),Table14[[#This Row],[Date of Joining]])</f>
        <v>43009</v>
      </c>
      <c r="G145" s="20">
        <f>IF(Table14[[#This Row],[Performance Rating]]="",0,Table14[[#This Row],[Performance Rating]])</f>
        <v>0</v>
      </c>
      <c r="H145" s="17" t="s">
        <v>178</v>
      </c>
      <c r="I145" s="21" t="s">
        <v>277</v>
      </c>
    </row>
    <row r="146" spans="1:9" x14ac:dyDescent="0.3">
      <c r="A146" s="16" t="s">
        <v>153</v>
      </c>
      <c r="B146" s="17" t="str">
        <f>IF(Table14[[#This Row],[Name]]="","Unknown",Table14[[#This Row],[Name]])</f>
        <v>Eve Adams</v>
      </c>
      <c r="C146" s="17" t="str">
        <f>IF(Table14[[#This Row],[Department]]="","Unknown",Table14[[#This Row],[Department]])</f>
        <v>Unknown</v>
      </c>
      <c r="D146" s="17" t="str">
        <f>IF(Table14[[#This Row],[Country]]="","Unknown",Table14[[#This Row],[Country]])</f>
        <v>Unknown</v>
      </c>
      <c r="E146" s="18">
        <v>94148</v>
      </c>
      <c r="F146" s="19">
        <f>IF(Table14[[#This Row],[Date of Joining]]="",MEDIAN(Table14[Date of Joining]),Table14[[#This Row],[Date of Joining]])</f>
        <v>43016</v>
      </c>
      <c r="G146" s="20">
        <f>IF(Table14[[#This Row],[Performance Rating]]="",0,Table14[[#This Row],[Performance Rating]])</f>
        <v>2</v>
      </c>
      <c r="H146" s="17" t="s">
        <v>178</v>
      </c>
      <c r="I146" s="21" t="s">
        <v>278</v>
      </c>
    </row>
    <row r="147" spans="1:9" x14ac:dyDescent="0.3">
      <c r="A147" s="16" t="s">
        <v>154</v>
      </c>
      <c r="B147" s="17" t="str">
        <f>IF(Table14[[#This Row],[Name]]="","Unknown",Table14[[#This Row],[Name]])</f>
        <v>Sam Wilson</v>
      </c>
      <c r="C147" s="17" t="str">
        <f>IF(Table14[[#This Row],[Department]]="","Unknown",Table14[[#This Row],[Department]])</f>
        <v>Sales</v>
      </c>
      <c r="D147" s="17" t="str">
        <f>IF(Table14[[#This Row],[Country]]="","Unknown",Table14[[#This Row],[Country]])</f>
        <v>Australia</v>
      </c>
      <c r="E147" s="22">
        <v>35627</v>
      </c>
      <c r="F147" s="19">
        <f>IF(Table14[[#This Row],[Date of Joining]]="",MEDIAN(Table14[Date of Joining]),Table14[[#This Row],[Date of Joining]])</f>
        <v>43023</v>
      </c>
      <c r="G147" s="20">
        <f>IF(Table14[[#This Row],[Performance Rating]]="",0,Table14[[#This Row],[Performance Rating]])</f>
        <v>5</v>
      </c>
      <c r="H147" s="17" t="s">
        <v>181</v>
      </c>
      <c r="I147" s="21" t="s">
        <v>275</v>
      </c>
    </row>
    <row r="148" spans="1:9" x14ac:dyDescent="0.3">
      <c r="A148" s="16" t="s">
        <v>155</v>
      </c>
      <c r="B148" s="17" t="str">
        <f>IF(Table14[[#This Row],[Name]]="","Unknown",Table14[[#This Row],[Name]])</f>
        <v>John Doe</v>
      </c>
      <c r="C148" s="17" t="str">
        <f>IF(Table14[[#This Row],[Department]]="","Unknown",Table14[[#This Row],[Department]])</f>
        <v>Marketing</v>
      </c>
      <c r="D148" s="17" t="str">
        <f>IF(Table14[[#This Row],[Country]]="","Unknown",Table14[[#This Row],[Country]])</f>
        <v>USA</v>
      </c>
      <c r="E148" s="18">
        <v>57141</v>
      </c>
      <c r="F148" s="19">
        <f>IF(Table14[[#This Row],[Date of Joining]]="",MEDIAN(Table14[Date of Joining]),Table14[[#This Row],[Date of Joining]])</f>
        <v>43030</v>
      </c>
      <c r="G148" s="20">
        <f>IF(Table14[[#This Row],[Performance Rating]]="",0,Table14[[#This Row],[Performance Rating]])</f>
        <v>2</v>
      </c>
      <c r="H148" s="17" t="s">
        <v>178</v>
      </c>
      <c r="I148" s="21" t="s">
        <v>276</v>
      </c>
    </row>
    <row r="149" spans="1:9" x14ac:dyDescent="0.3">
      <c r="A149" s="16" t="s">
        <v>156</v>
      </c>
      <c r="B149" s="17" t="str">
        <f>IF(Table14[[#This Row],[Name]]="","Unknown",Table14[[#This Row],[Name]])</f>
        <v>Bob Johnson</v>
      </c>
      <c r="C149" s="17" t="str">
        <f>IF(Table14[[#This Row],[Department]]="","Unknown",Table14[[#This Row],[Department]])</f>
        <v>Sales</v>
      </c>
      <c r="D149" s="17" t="str">
        <f>IF(Table14[[#This Row],[Country]]="","Unknown",Table14[[#This Row],[Country]])</f>
        <v>Australia</v>
      </c>
      <c r="E149" s="22">
        <v>65270</v>
      </c>
      <c r="F149" s="19">
        <f>IF(Table14[[#This Row],[Date of Joining]]="",MEDIAN(Table14[Date of Joining]),Table14[[#This Row],[Date of Joining]])</f>
        <v>43037</v>
      </c>
      <c r="G149" s="20">
        <f>IF(Table14[[#This Row],[Performance Rating]]="",0,Table14[[#This Row],[Performance Rating]])</f>
        <v>1</v>
      </c>
      <c r="H149" s="17" t="s">
        <v>178</v>
      </c>
      <c r="I149" s="21" t="s">
        <v>279</v>
      </c>
    </row>
    <row r="150" spans="1:9" x14ac:dyDescent="0.3">
      <c r="A150" s="16" t="s">
        <v>157</v>
      </c>
      <c r="B150" s="17" t="str">
        <f>IF(Table14[[#This Row],[Name]]="","Unknown",Table14[[#This Row],[Name]])</f>
        <v>Bob Johnson</v>
      </c>
      <c r="C150" s="17" t="str">
        <f>IF(Table14[[#This Row],[Department]]="","Unknown",Table14[[#This Row],[Department]])</f>
        <v>Unknown</v>
      </c>
      <c r="D150" s="17" t="str">
        <f>IF(Table14[[#This Row],[Country]]="","Unknown",Table14[[#This Row],[Country]])</f>
        <v>UK</v>
      </c>
      <c r="E150" s="18">
        <v>67335</v>
      </c>
      <c r="F150" s="19">
        <f>IF(Table14[[#This Row],[Date of Joining]]="",MEDIAN(Table14[Date of Joining]),Table14[[#This Row],[Date of Joining]])</f>
        <v>43044</v>
      </c>
      <c r="G150" s="20">
        <f>IF(Table14[[#This Row],[Performance Rating]]="",0,Table14[[#This Row],[Performance Rating]])</f>
        <v>1</v>
      </c>
      <c r="H150" s="17" t="s">
        <v>179</v>
      </c>
      <c r="I150" s="21" t="s">
        <v>233</v>
      </c>
    </row>
    <row r="151" spans="1:9" x14ac:dyDescent="0.3">
      <c r="A151" s="23" t="s">
        <v>158</v>
      </c>
      <c r="B151" s="24" t="str">
        <f>IF(Table14[[#This Row],[Name]]="","Unknown",Table14[[#This Row],[Name]])</f>
        <v>Sam Wilson</v>
      </c>
      <c r="C151" s="24" t="str">
        <f>IF(Table14[[#This Row],[Department]]="","Unknown",Table14[[#This Row],[Department]])</f>
        <v>Marketing</v>
      </c>
      <c r="D151" s="24" t="str">
        <f>IF(Table14[[#This Row],[Country]]="","Unknown",Table14[[#This Row],[Country]])</f>
        <v>India</v>
      </c>
      <c r="E151" s="25">
        <v>98475</v>
      </c>
      <c r="F151" s="26">
        <f>IF(Table14[[#This Row],[Date of Joining]]="",MEDIAN(Table14[Date of Joining]),Table14[[#This Row],[Date of Joining]])</f>
        <v>43051</v>
      </c>
      <c r="G151" s="27">
        <f>IF(Table14[[#This Row],[Performance Rating]]="",0,Table14[[#This Row],[Performance Rating]])</f>
        <v>5</v>
      </c>
      <c r="H151" s="24" t="s">
        <v>179</v>
      </c>
      <c r="I151" s="28" t="s">
        <v>280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7F0C85B-43ED-4931-B9E4-8622E102D6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Cleaning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ABINAYA</dc:creator>
  <cp:lastModifiedBy>Abinaya L</cp:lastModifiedBy>
  <dcterms:created xsi:type="dcterms:W3CDTF">2025-05-31T18:11:07Z</dcterms:created>
  <dcterms:modified xsi:type="dcterms:W3CDTF">2026-01-07T07:05:32Z</dcterms:modified>
</cp:coreProperties>
</file>