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0D9FC11E-81F8-4BF7-9830-0BB6E3CAC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ummary" sheetId="2" r:id="rId2"/>
  </sheets>
  <definedNames>
    <definedName name="Emp_ID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L6" i="1"/>
  <c r="K6" i="1"/>
  <c r="M4" i="1"/>
  <c r="L4" i="1"/>
  <c r="K2" i="1"/>
  <c r="K4" i="1"/>
  <c r="M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<sst xmlns="http://schemas.openxmlformats.org/spreadsheetml/2006/main" count="823" uniqueCount="290">
  <si>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</si>
  <si>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</si>
  <si>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</si>
  <si>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</si>
  <si>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</si>
  <si>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</si>
  <si>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</si>
  <si>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</si>
  <si>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</si>
  <si>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</si>
  <si>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</si>
  <si>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</si>
  <si>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</si>
  <si>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</si>
  <si>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</si>
  <si>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</si>
  <si>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</si>
  <si>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</si>
  <si>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</si>
  <si>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</si>
  <si>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</si>
  <si>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</si>
  <si>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</si>
  <si>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</si>
  <si>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</si>
  <si>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</si>
  <si>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</si>
  <si>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</si>
  <si>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</si>
  <si>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</si>
  <si>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</si>
  <si>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</si>
  <si>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</si>
  <si>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</si>
  <si>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</si>
  <si>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</si>
  <si>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</si>
  <si>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</si>
  <si>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</si>
  <si>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</si>
  <si>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</si>
  <si>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</si>
  <si>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</si>
  <si>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</si>
  <si>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</si>
  <si>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</si>
  <si>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</si>
  <si>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</si>
  <si>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</si>
  <si>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</si>
  <si>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</si>
  <si>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</si>
  <si>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</si>
  <si>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</si>
  <si>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</si>
  <si>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</si>
  <si>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</si>
  <si>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</si>
  <si>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</si>
  <si>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</si>
  <si>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</si>
  <si>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</si>
  <si>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</si>
  <si>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</si>
  <si>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</si>
  <si>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</si>
  <si>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</si>
  <si>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</si>
  <si>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</si>
  <si>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</si>
  <si>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</si>
  <si>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</si>
  <si>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</si>
  <si>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</si>
  <si>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</si>
  <si>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</si>
  <si>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</si>
  <si>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</si>
  <si>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</si>
  <si>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</si>
  <si>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</si>
  <si>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</si>
  <si>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</si>
  <si>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</si>
  <si>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</si>
  <si>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</si>
  <si>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</si>
  <si>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</si>
  <si>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</si>
  <si>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</si>
  <si>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</si>
  <si>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</si>
  <si>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</si>
  <si>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</si>
  <si>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</si>
  <si>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</si>
  <si>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</si>
  <si>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</si>
  <si>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</si>
  <si>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</si>
  <si>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</si>
  <si>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</si>
  <si>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</si>
  <si>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</si>
  <si>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</si>
  <si>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</si>
  <si>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</si>
  <si>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</si>
  <si>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</si>
  <si>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</si>
  <si>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</si>
  <si>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</si>
  <si>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</si>
  <si>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</si>
  <si>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</si>
  <si>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</si>
  <si>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</si>
  <si>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</si>
  <si>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</si>
  <si>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</si>
  <si>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</si>
  <si>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</si>
  <si>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</si>
  <si>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</si>
  <si>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</si>
  <si>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</si>
  <si>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</si>
  <si>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</si>
  <si>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</si>
  <si>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</si>
  <si>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</si>
  <si>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</si>
  <si>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</si>
  <si>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</si>
  <si>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</si>
  <si>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</si>
  <si>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</si>
  <si>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</si>
  <si>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</si>
  <si>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</si>
  <si>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</si>
  <si>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</si>
  <si>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</si>
  <si>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</si>
  <si>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</si>
  <si>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</si>
  <si>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</si>
  <si>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</si>
  <si>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</si>
  <si>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</si>
  <si>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</si>
  <si>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</si>
  <si>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</si>
  <si>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</si>
  <si>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</si>
  <si>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</si>
  <si>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</si>
  <si>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</si>
  <si>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</si>
  <si>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</si>
  <si>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</si>
  <si>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</si>
  <si>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</si>
  <si>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</si>
  <si>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</si>
  <si>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</si>
  <si>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</si>
  <si>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</si>
  <si>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</si>
  <si>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</si>
  <si>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</si>
  <si>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</si>
  <si>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</si>
  <si>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</si>
  <si>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</si>
  <si>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</si>
  <si>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</si>
  <si>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</si>
  <si>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</si>
  <si>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</si>
  <si>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</si>
  <si>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</si>
  <si>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</si>
  <si>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</si>
  <si>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</si>
  <si>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</si>
  <si>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</si>
  <si>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</si>
  <si>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</si>
  <si>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</si>
  <si>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</si>
  <si>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</si>
  <si>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</si>
  <si>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</si>
  <si>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</si>
  <si>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</si>
  <si>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</si>
  <si>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</si>
  <si>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</si>
  <si>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</si>
  <si>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</si>
  <si>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</si>
  <si>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</si>
  <si>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</si>
  <si>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</si>
  <si>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</si>
  <si>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</si>
  <si>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</si>
  <si>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</si>
  <si>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</si>
  <si>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</si>
  <si>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</si>
  <si>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</si>
  <si>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</si>
  <si>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</si>
  <si>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</si>
  <si>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</si>
  <si>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</si>
  <si>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</si>
  <si>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</si>
  <si>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</si>
  <si>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</si>
  <si>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</si>
  <si>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</si>
  <si>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</si>
  <si>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</si>
  <si>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</si>
  <si>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</si>
  <si>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</si>
  <si>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</si>
  <si>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</si>
  <si>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</si>
  <si>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</si>
  <si>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</si>
  <si>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</si>
  <si>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</si>
  <si>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</si>
  <si>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</si>
  <si>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</si>
  <si>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</si>
  <si>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</si>
  <si>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</si>
  <si>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</si>
  <si>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</si>
  <si>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</si>
  <si>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</si>
  <si>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</si>
  <si>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</si>
  <si>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</si>
  <si>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</si>
  <si>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</si>
  <si>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</si>
  <si>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</si>
  <si>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</si>
  <si>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</si>
  <si>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</si>
  <si>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</si>
  <si>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</si>
  <si>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</si>
  <si>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</si>
  <si>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</si>
  <si>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</si>
  <si>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</si>
  <si>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</si>
  <si>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</si>
  <si>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</si>
  <si>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</si>
  <si>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</si>
  <si>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</si>
  <si>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</si>
  <si>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</si>
  <si>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</si>
  <si>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</si>
  <si>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</si>
  <si>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</si>
  <si>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</si>
  <si>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</si>
  <si>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</si>
  <si>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</si>
  <si>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</si>
  <si>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</si>
  <si>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IF</t>
  </si>
  <si>
    <t>SUMIF</t>
  </si>
  <si>
    <t>COUNTIF</t>
  </si>
  <si>
    <t>AVERAGEIF</t>
  </si>
  <si>
    <t>Summary</t>
  </si>
  <si>
    <t>1. I use IF condition for Loan Eligibility.</t>
  </si>
  <si>
    <t>2. I Calculate SUMIF for Total salary of country in "INDIA", Total Salary of "HR" department, and Total salary of "&gt;=3" in performance rating criteria.</t>
  </si>
  <si>
    <t xml:space="preserve">4. I calculate Average salary of employees in "INDIA", employees in "HR" department, and who met the condition of "&gt;=3" in performance rating. </t>
  </si>
  <si>
    <t xml:space="preserve">3. I Count the Employees salary who belongs to "INDIA", Count number of employees in "HR" department, and count of performance rating based on "&gt;=3".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</si>
</sst>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 [$₹-4009]\ * #,##0_ ;_ [$₹-4009]\ * \-#,##0_ ;_ [$₹-4009]\ * &quot;-&quot;??_ ;_ @_ "/>
    <numFmt numFmtId="165" formatCode="mm\-dd\-yyyy"/>
    <numFmt numFmtId="166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11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2" xfId="0" applyNumberFormat="1" applyFont="1" applyFill="1" applyBorder="1" applyAlignment="1">
      <alignment horizontal="center"/>
    </xf>
    <xf numFmtId="165" fontId="0" fillId="0" borderId="0" xfId="0" applyNumberFormat="1"/>
    <xf numFmtId="1" fontId="1" fillId="2" borderId="2" xfId="0" applyNumberFormat="1" applyFont="1" applyFill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164" fontId="0" fillId="0" borderId="0" xfId="2" applyNumberFormat="1" applyFont="1"/>
    <xf numFmtId="164" fontId="0" fillId="0" borderId="0" xfId="1" applyNumberFormat="1" applyFont="1"/>
    <xf numFmtId="0" fontId="0" fillId="5" borderId="1" xfId="0" applyFill="1" applyBorder="1"/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6">
    <dxf>
      <numFmt numFmtId="1" formatCode="0"/>
    </dxf>
    <dxf>
      <numFmt numFmtId="165" formatCode="mm\-dd\-yyyy"/>
    </dxf>
    <dxf>
      <numFmt numFmtId="164" formatCode="_ [$₹-4009]\ * #,##0_ ;_ [$₹-4009]\ * \-#,##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76F85-5DCA-4AF4-937B-9C82F9984E8E}" name="Table1" displayName="Table1" ref="A1:I151" totalsRowShown="0" headerRowDxfId="5" headerRowBorderDxfId="4" tableBorderDxfId="3">
  <autoFilter ref="A1:I151" xr:uid="{8CD76F85-5DCA-4AF4-937B-9C82F9984E8E}"/>
  <tableColumns count="9">
    <tableColumn id="1" xr3:uid="{2174A3F0-020E-4BDA-BECD-86006A5C7193}" name="Employee ID"/>
    <tableColumn id="2" xr3:uid="{021E1366-DAC9-429D-951D-81ADB96C2201}" name="Name"/>
    <tableColumn id="3" xr3:uid="{A7DE7900-0148-480B-ABE9-4D1500D25992}" name="Department"/>
    <tableColumn id="4" xr3:uid="{A7BC12E0-3C4B-43B0-AADB-3BB34D1D879E}" name="Country"/>
    <tableColumn id="5" xr3:uid="{48DCB36C-2B6D-4A0E-B5F0-D3D26795B07D}" name="Salary" dataDxfId="2"/>
    <tableColumn id="6" xr3:uid="{A296471E-A931-418D-8CE8-9CB118C05A93}" name="Date of Joining" dataDxfId="1"/>
    <tableColumn id="7" xr3:uid="{7E723FDF-FC54-45E9-BF01-7D42A97E5682}" name="Performance Rating" dataDxfId="0"/>
    <tableColumn id="8" xr3:uid="{D5A3C9B3-12E5-4B0E-9EF8-E61D1F8AC67C}" name="Gender"/>
    <tableColumn id="9" xr3:uid="{53F603CA-0B0B-44F5-98D3-6B1A80E3D58B}" name="Emai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B1" zoomScaleNormal="100" workbookViewId="0">
      <selection activeCell="B2" sqref="B2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3.88671875" style="3" bestFit="1" customWidth="1"/>
    <col min="6" max="6" width="24.109375" style="5" bestFit="1" customWidth="1"/>
    <col min="7" max="7" width="25.77734375" style="7" bestFit="1" customWidth="1"/>
    <col min="8" max="8" width="12.88671875" bestFit="1" customWidth="1"/>
    <col min="9" max="9" width="21.5546875" customWidth="1"/>
    <col min="10" max="10" width="20.88671875" style="3" bestFit="1" customWidth="1"/>
    <col min="11" max="11" width="13.88671875" bestFit="1" customWidth="1"/>
    <col min="12" max="12" width="14.77734375" customWidth="1"/>
    <col min="13" max="13" width="14" bestFit="1" customWidth="1"/>
    <col min="14" max="14" width="14.44140625" bestFit="1" customWidth="1"/>
    <col min="15" max="15" width="17.5546875" bestFit="1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  <c r="J1" s="14" t="s">
        <v>281</v>
      </c>
      <c r="K1" s="14" t="s">
        <v>282</v>
      </c>
      <c r="L1" s="14" t="s">
        <v>283</v>
      </c>
      <c r="M1" s="14" t="s">
        <v>284</v>
      </c>
    </row>
    <row r="2" spans="1:13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  <c r="J2" s="3" t="str">
        <f>IF(E2="N/A","Missing Value",IF(E2&gt;=60000,"Eligible for Loan","Not Eligible for loan"))</f>
        <v>Missing Value</v>
      </c>
      <c r="K2" s="3">
        <f>SUMIF(Table1[Country],"India",Table1[Salary])</f>
        <v>1806790</v>
      </c>
      <c r="L2">
        <f>COUNTIF(Table1[Country],"India")</f>
        <v>28</v>
      </c>
      <c r="M2" s="10">
        <f>AVERAGEIF(Table1[Country],"India",Table1[Salary])</f>
        <v>66918.148148148146</v>
      </c>
    </row>
    <row r="3" spans="1:13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  <c r="J3" s="3" t="str">
        <f t="shared" ref="J3:J66" si="0">IF(E3="N/A","Missing Value",IF(E3&gt;=60000,"Eligible for Loan","Not Eligible for loan"))</f>
        <v>Not Eligible for loan</v>
      </c>
    </row>
    <row r="4" spans="1:13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  <c r="J4" s="3" t="str">
        <f t="shared" si="0"/>
        <v>Eligible for Loan</v>
      </c>
      <c r="K4" s="3">
        <f>SUMIF(Table1[Department],"HR",Table1[Salary])</f>
        <v>1560195</v>
      </c>
      <c r="L4">
        <f>COUNTIF(C:C,"HR")</f>
        <v>24</v>
      </c>
      <c r="M4" s="9">
        <f>AVERAGEIF(Table1[Department],"HR",Table1[Salary])</f>
        <v>67834.565217391311</v>
      </c>
    </row>
    <row r="5" spans="1:13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  <c r="J5" s="3" t="str">
        <f t="shared" si="0"/>
        <v>Eligible for Loan</v>
      </c>
      <c r="K5" s="8"/>
    </row>
    <row r="6" spans="1:13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  <c r="J6" s="3" t="str">
        <f t="shared" si="0"/>
        <v>Eligible for Loan</v>
      </c>
      <c r="K6" s="3">
        <f>SUMIF(Table1[Performance Rating],"&gt;=3",Table1[Salary])</f>
        <v>4494519</v>
      </c>
      <c r="L6">
        <f>COUNTIF(Table1[Performance Rating],"&gt;=3")</f>
        <v>72</v>
      </c>
      <c r="M6" s="3">
        <f>AVERAGEIF(Table1[Performance Rating],"&gt;=3",Table1[Salary])</f>
        <v>66095.867647058825</v>
      </c>
    </row>
    <row r="7" spans="1:13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  <c r="J7" s="3" t="str">
        <f t="shared" si="0"/>
        <v>Eligible for Loan</v>
      </c>
      <c r="K7" s="8"/>
    </row>
    <row r="8" spans="1:13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  <c r="J8" s="3" t="str">
        <f t="shared" si="0"/>
        <v>Eligible for Loan</v>
      </c>
    </row>
    <row r="9" spans="1:13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  <c r="J9" s="3" t="str">
        <f t="shared" si="0"/>
        <v>Not Eligible for loan</v>
      </c>
    </row>
    <row r="10" spans="1:13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  <c r="J10" s="3" t="str">
        <f t="shared" si="0"/>
        <v>Eligible for Loan</v>
      </c>
    </row>
    <row r="11" spans="1:13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  <c r="J11" s="3" t="str">
        <f t="shared" si="0"/>
        <v>Eligible for Loan</v>
      </c>
    </row>
    <row r="12" spans="1:13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  <c r="J12" s="3" t="str">
        <f t="shared" si="0"/>
        <v>Eligible for Loan</v>
      </c>
    </row>
    <row r="13" spans="1:13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  <c r="J13" s="3" t="str">
        <f t="shared" si="0"/>
        <v>Eligible for Loan</v>
      </c>
    </row>
    <row r="14" spans="1:13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  <c r="J14" s="3" t="str">
        <f t="shared" si="0"/>
        <v>Eligible for Loan</v>
      </c>
    </row>
    <row r="15" spans="1:13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  <c r="J15" s="3" t="str">
        <f t="shared" si="0"/>
        <v>Eligible for Loan</v>
      </c>
    </row>
    <row r="16" spans="1:13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  <c r="J16" s="3" t="str">
        <f t="shared" si="0"/>
        <v>Not Eligible for loan</v>
      </c>
    </row>
    <row r="17" spans="1:10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  <c r="J17" s="3" t="str">
        <f t="shared" si="0"/>
        <v>Eligible for Loan</v>
      </c>
    </row>
    <row r="18" spans="1:10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  <c r="J18" s="3" t="str">
        <f t="shared" si="0"/>
        <v>Eligible for Loan</v>
      </c>
    </row>
    <row r="19" spans="1:10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  <c r="J19" s="3" t="str">
        <f t="shared" si="0"/>
        <v>Not Eligible for loan</v>
      </c>
    </row>
    <row r="20" spans="1:10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  <c r="J20" s="3" t="str">
        <f t="shared" si="0"/>
        <v>Eligible for Loan</v>
      </c>
    </row>
    <row r="21" spans="1:10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  <c r="J21" s="3" t="str">
        <f t="shared" si="0"/>
        <v>Eligible for Loan</v>
      </c>
    </row>
    <row r="22" spans="1:10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  <c r="J22" s="3" t="str">
        <f t="shared" si="0"/>
        <v>Missing Value</v>
      </c>
    </row>
    <row r="23" spans="1:10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  <c r="J23" s="3" t="str">
        <f t="shared" si="0"/>
        <v>Eligible for Loan</v>
      </c>
    </row>
    <row r="24" spans="1:10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  <c r="J24" s="3" t="str">
        <f t="shared" si="0"/>
        <v>Not Eligible for loan</v>
      </c>
    </row>
    <row r="25" spans="1:10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  <c r="J25" s="3" t="str">
        <f t="shared" si="0"/>
        <v>Not Eligible for loan</v>
      </c>
    </row>
    <row r="26" spans="1:10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  <c r="J26" s="3" t="str">
        <f t="shared" si="0"/>
        <v>Eligible for Loan</v>
      </c>
    </row>
    <row r="27" spans="1:10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  <c r="J27" s="3" t="str">
        <f t="shared" si="0"/>
        <v>Not Eligible for loan</v>
      </c>
    </row>
    <row r="28" spans="1:10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  <c r="J28" s="3" t="str">
        <f t="shared" si="0"/>
        <v>Eligible for Loan</v>
      </c>
    </row>
    <row r="29" spans="1:10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  <c r="J29" s="3" t="str">
        <f t="shared" si="0"/>
        <v>Not Eligible for loan</v>
      </c>
    </row>
    <row r="30" spans="1:10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  <c r="J30" s="3" t="str">
        <f t="shared" si="0"/>
        <v>Not Eligible for loan</v>
      </c>
    </row>
    <row r="31" spans="1:10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  <c r="J31" s="3" t="str">
        <f t="shared" si="0"/>
        <v>Eligible for Loan</v>
      </c>
    </row>
    <row r="32" spans="1:10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  <c r="J32" s="3" t="str">
        <f t="shared" si="0"/>
        <v>Eligible for Loan</v>
      </c>
    </row>
    <row r="33" spans="1:10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  <c r="J33" s="3" t="str">
        <f t="shared" si="0"/>
        <v>Eligible for Loan</v>
      </c>
    </row>
    <row r="34" spans="1:10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  <c r="J34" s="3" t="str">
        <f t="shared" si="0"/>
        <v>Eligible for Loan</v>
      </c>
    </row>
    <row r="35" spans="1:10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  <c r="J35" s="3" t="str">
        <f t="shared" si="0"/>
        <v>Eligible for Loan</v>
      </c>
    </row>
    <row r="36" spans="1:10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  <c r="J36" s="3" t="str">
        <f t="shared" si="0"/>
        <v>Eligible for Loan</v>
      </c>
    </row>
    <row r="37" spans="1:10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  <c r="J37" s="3" t="str">
        <f t="shared" si="0"/>
        <v>Not Eligible for loan</v>
      </c>
    </row>
    <row r="38" spans="1:10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  <c r="J38" s="3" t="str">
        <f t="shared" si="0"/>
        <v>Eligible for Loan</v>
      </c>
    </row>
    <row r="39" spans="1:10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  <c r="J39" s="3" t="str">
        <f t="shared" si="0"/>
        <v>Eligible for Loan</v>
      </c>
    </row>
    <row r="40" spans="1:10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  <c r="J40" s="3" t="str">
        <f t="shared" si="0"/>
        <v>Not Eligible for loan</v>
      </c>
    </row>
    <row r="41" spans="1:10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  <c r="J41" s="3" t="str">
        <f t="shared" si="0"/>
        <v>Not Eligible for loan</v>
      </c>
    </row>
    <row r="42" spans="1:10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  <c r="J42" s="3" t="str">
        <f t="shared" si="0"/>
        <v>Missing Value</v>
      </c>
    </row>
    <row r="43" spans="1:10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  <c r="J43" s="3" t="str">
        <f t="shared" si="0"/>
        <v>Not Eligible for loan</v>
      </c>
    </row>
    <row r="44" spans="1:10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  <c r="J44" s="3" t="str">
        <f t="shared" si="0"/>
        <v>Eligible for Loan</v>
      </c>
    </row>
    <row r="45" spans="1:10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  <c r="J45" s="3" t="str">
        <f t="shared" si="0"/>
        <v>Not Eligible for loan</v>
      </c>
    </row>
    <row r="46" spans="1:10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  <c r="J46" s="3" t="str">
        <f t="shared" si="0"/>
        <v>Eligible for Loan</v>
      </c>
    </row>
    <row r="47" spans="1:10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  <c r="J47" s="3" t="str">
        <f t="shared" si="0"/>
        <v>Not Eligible for loan</v>
      </c>
    </row>
    <row r="48" spans="1:10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  <c r="J48" s="3" t="str">
        <f t="shared" si="0"/>
        <v>Eligible for Loan</v>
      </c>
    </row>
    <row r="49" spans="1:10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  <c r="J49" s="3" t="str">
        <f t="shared" si="0"/>
        <v>Not Eligible for loan</v>
      </c>
    </row>
    <row r="50" spans="1:10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  <c r="J50" s="3" t="str">
        <f t="shared" si="0"/>
        <v>Eligible for Loan</v>
      </c>
    </row>
    <row r="51" spans="1:10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  <c r="J51" s="3" t="str">
        <f t="shared" si="0"/>
        <v>Eligible for Loan</v>
      </c>
    </row>
    <row r="52" spans="1:10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  <c r="J52" s="3" t="str">
        <f t="shared" si="0"/>
        <v>Not Eligible for loan</v>
      </c>
    </row>
    <row r="53" spans="1:10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  <c r="J53" s="3" t="str">
        <f t="shared" si="0"/>
        <v>Not Eligible for loan</v>
      </c>
    </row>
    <row r="54" spans="1:10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  <c r="J54" s="3" t="str">
        <f t="shared" si="0"/>
        <v>Not Eligible for loan</v>
      </c>
    </row>
    <row r="55" spans="1:10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  <c r="J55" s="3" t="str">
        <f t="shared" si="0"/>
        <v>Not Eligible for loan</v>
      </c>
    </row>
    <row r="56" spans="1:10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  <c r="J56" s="3" t="str">
        <f t="shared" si="0"/>
        <v>Eligible for Loan</v>
      </c>
    </row>
    <row r="57" spans="1:10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  <c r="J57" s="3" t="str">
        <f t="shared" si="0"/>
        <v>Eligible for Loan</v>
      </c>
    </row>
    <row r="58" spans="1:10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  <c r="J58" s="3" t="str">
        <f t="shared" si="0"/>
        <v>Eligible for Loan</v>
      </c>
    </row>
    <row r="59" spans="1:10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  <c r="J59" s="3" t="str">
        <f t="shared" si="0"/>
        <v>Eligible for Loan</v>
      </c>
    </row>
    <row r="60" spans="1:10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  <c r="J60" s="3" t="str">
        <f t="shared" si="0"/>
        <v>Eligible for Loan</v>
      </c>
    </row>
    <row r="61" spans="1:10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  <c r="J61" s="3" t="str">
        <f t="shared" si="0"/>
        <v>Eligible for Loan</v>
      </c>
    </row>
    <row r="62" spans="1:10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  <c r="J62" s="3" t="str">
        <f t="shared" si="0"/>
        <v>Missing Value</v>
      </c>
    </row>
    <row r="63" spans="1:10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  <c r="J63" s="3" t="str">
        <f t="shared" si="0"/>
        <v>Not Eligible for loan</v>
      </c>
    </row>
    <row r="64" spans="1:10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  <c r="J64" s="3" t="str">
        <f t="shared" si="0"/>
        <v>Eligible for Loan</v>
      </c>
    </row>
    <row r="65" spans="1:10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  <c r="J65" s="3" t="str">
        <f t="shared" si="0"/>
        <v>Not Eligible for loan</v>
      </c>
    </row>
    <row r="66" spans="1:10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  <c r="J66" s="3" t="str">
        <f t="shared" si="0"/>
        <v>Eligible for Loan</v>
      </c>
    </row>
    <row r="67" spans="1:10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  <c r="J67" s="3" t="str">
        <f t="shared" ref="J67:J130" si="1">IF(E67="N/A","Missing Value",IF(E67&gt;=60000,"Eligible for Loan","Not Eligible for loan"))</f>
        <v>Not Eligible for loan</v>
      </c>
    </row>
    <row r="68" spans="1:10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  <c r="J68" s="3" t="str">
        <f t="shared" si="1"/>
        <v>Eligible for Loan</v>
      </c>
    </row>
    <row r="69" spans="1:10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  <c r="J69" s="3" t="str">
        <f t="shared" si="1"/>
        <v>Eligible for Loan</v>
      </c>
    </row>
    <row r="70" spans="1:10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  <c r="J70" s="3" t="str">
        <f t="shared" si="1"/>
        <v>Not Eligible for loan</v>
      </c>
    </row>
    <row r="71" spans="1:10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  <c r="J71" s="3" t="str">
        <f t="shared" si="1"/>
        <v>Eligible for Loan</v>
      </c>
    </row>
    <row r="72" spans="1:10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  <c r="J72" s="3" t="str">
        <f t="shared" si="1"/>
        <v>Eligible for Loan</v>
      </c>
    </row>
    <row r="73" spans="1:10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  <c r="J73" s="3" t="str">
        <f t="shared" si="1"/>
        <v>Eligible for Loan</v>
      </c>
    </row>
    <row r="74" spans="1:10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  <c r="J74" s="3" t="str">
        <f t="shared" si="1"/>
        <v>Not Eligible for loan</v>
      </c>
    </row>
    <row r="75" spans="1:10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  <c r="J75" s="3" t="str">
        <f t="shared" si="1"/>
        <v>Eligible for Loan</v>
      </c>
    </row>
    <row r="76" spans="1:10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  <c r="J76" s="3" t="str">
        <f t="shared" si="1"/>
        <v>Not Eligible for loan</v>
      </c>
    </row>
    <row r="77" spans="1:10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  <c r="J77" s="3" t="str">
        <f t="shared" si="1"/>
        <v>Eligible for Loan</v>
      </c>
    </row>
    <row r="78" spans="1:10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  <c r="J78" s="3" t="str">
        <f t="shared" si="1"/>
        <v>Eligible for Loan</v>
      </c>
    </row>
    <row r="79" spans="1:10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  <c r="J79" s="3" t="str">
        <f t="shared" si="1"/>
        <v>Eligible for Loan</v>
      </c>
    </row>
    <row r="80" spans="1:10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  <c r="J80" s="3" t="str">
        <f t="shared" si="1"/>
        <v>Eligible for Loan</v>
      </c>
    </row>
    <row r="81" spans="1:10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  <c r="J81" s="3" t="str">
        <f t="shared" si="1"/>
        <v>Eligible for Loan</v>
      </c>
    </row>
    <row r="82" spans="1:10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  <c r="J82" s="3" t="str">
        <f t="shared" si="1"/>
        <v>Missing Value</v>
      </c>
    </row>
    <row r="83" spans="1:10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  <c r="J83" s="3" t="str">
        <f t="shared" si="1"/>
        <v>Eligible for Loan</v>
      </c>
    </row>
    <row r="84" spans="1:10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  <c r="J84" s="3" t="str">
        <f t="shared" si="1"/>
        <v>Not Eligible for loan</v>
      </c>
    </row>
    <row r="85" spans="1:10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  <c r="J85" s="3" t="str">
        <f t="shared" si="1"/>
        <v>Eligible for Loan</v>
      </c>
    </row>
    <row r="86" spans="1:10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  <c r="J86" s="3" t="str">
        <f t="shared" si="1"/>
        <v>Not Eligible for loan</v>
      </c>
    </row>
    <row r="87" spans="1:10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  <c r="J87" s="3" t="str">
        <f t="shared" si="1"/>
        <v>Not Eligible for loan</v>
      </c>
    </row>
    <row r="88" spans="1:10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  <c r="J88" s="3" t="str">
        <f t="shared" si="1"/>
        <v>Not Eligible for loan</v>
      </c>
    </row>
    <row r="89" spans="1:10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  <c r="J89" s="3" t="str">
        <f t="shared" si="1"/>
        <v>Not Eligible for loan</v>
      </c>
    </row>
    <row r="90" spans="1:10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  <c r="J90" s="3" t="str">
        <f t="shared" si="1"/>
        <v>Eligible for Loan</v>
      </c>
    </row>
    <row r="91" spans="1:10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  <c r="J91" s="3" t="str">
        <f t="shared" si="1"/>
        <v>Not Eligible for loan</v>
      </c>
    </row>
    <row r="92" spans="1:10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  <c r="J92" s="3" t="str">
        <f t="shared" si="1"/>
        <v>Not Eligible for loan</v>
      </c>
    </row>
    <row r="93" spans="1:10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  <c r="J93" s="3" t="str">
        <f t="shared" si="1"/>
        <v>Eligible for Loan</v>
      </c>
    </row>
    <row r="94" spans="1:10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  <c r="J94" s="3" t="str">
        <f t="shared" si="1"/>
        <v>Eligible for Loan</v>
      </c>
    </row>
    <row r="95" spans="1:10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  <c r="J95" s="3" t="str">
        <f t="shared" si="1"/>
        <v>Eligible for Loan</v>
      </c>
    </row>
    <row r="96" spans="1:10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  <c r="J96" s="3" t="str">
        <f t="shared" si="1"/>
        <v>Not Eligible for loan</v>
      </c>
    </row>
    <row r="97" spans="1:10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  <c r="J97" s="3" t="str">
        <f t="shared" si="1"/>
        <v>Eligible for Loan</v>
      </c>
    </row>
    <row r="98" spans="1:10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  <c r="J98" s="3" t="str">
        <f t="shared" si="1"/>
        <v>Eligible for Loan</v>
      </c>
    </row>
    <row r="99" spans="1:10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  <c r="J99" s="3" t="str">
        <f t="shared" si="1"/>
        <v>Eligible for Loan</v>
      </c>
    </row>
    <row r="100" spans="1:10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  <c r="J100" s="3" t="str">
        <f t="shared" si="1"/>
        <v>Eligible for Loan</v>
      </c>
    </row>
    <row r="101" spans="1:10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  <c r="J101" s="3" t="str">
        <f t="shared" si="1"/>
        <v>Eligible for Loan</v>
      </c>
    </row>
    <row r="102" spans="1:10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  <c r="J102" s="3" t="str">
        <f t="shared" si="1"/>
        <v>Missing Value</v>
      </c>
    </row>
    <row r="103" spans="1:10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  <c r="J103" s="3" t="str">
        <f t="shared" si="1"/>
        <v>Eligible for Loan</v>
      </c>
    </row>
    <row r="104" spans="1:10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  <c r="J104" s="3" t="str">
        <f t="shared" si="1"/>
        <v>Not Eligible for loan</v>
      </c>
    </row>
    <row r="105" spans="1:10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  <c r="J105" s="3" t="str">
        <f t="shared" si="1"/>
        <v>Eligible for Loan</v>
      </c>
    </row>
    <row r="106" spans="1:10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  <c r="J106" s="3" t="str">
        <f t="shared" si="1"/>
        <v>Eligible for Loan</v>
      </c>
    </row>
    <row r="107" spans="1:10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  <c r="J107" s="3" t="str">
        <f t="shared" si="1"/>
        <v>Eligible for Loan</v>
      </c>
    </row>
    <row r="108" spans="1:10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  <c r="J108" s="3" t="str">
        <f t="shared" si="1"/>
        <v>Not Eligible for loan</v>
      </c>
    </row>
    <row r="109" spans="1:10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  <c r="J109" s="3" t="str">
        <f t="shared" si="1"/>
        <v>Eligible for Loan</v>
      </c>
    </row>
    <row r="110" spans="1:10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  <c r="J110" s="3" t="str">
        <f t="shared" si="1"/>
        <v>Eligible for Loan</v>
      </c>
    </row>
    <row r="111" spans="1:10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  <c r="J111" s="3" t="str">
        <f t="shared" si="1"/>
        <v>Eligible for Loan</v>
      </c>
    </row>
    <row r="112" spans="1:10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  <c r="J112" s="3" t="str">
        <f t="shared" si="1"/>
        <v>Not Eligible for loan</v>
      </c>
    </row>
    <row r="113" spans="1:10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  <c r="J113" s="3" t="str">
        <f t="shared" si="1"/>
        <v>Not Eligible for loan</v>
      </c>
    </row>
    <row r="114" spans="1:10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  <c r="J114" s="3" t="str">
        <f t="shared" si="1"/>
        <v>Eligible for Loan</v>
      </c>
    </row>
    <row r="115" spans="1:10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  <c r="J115" s="3" t="str">
        <f t="shared" si="1"/>
        <v>Not Eligible for loan</v>
      </c>
    </row>
    <row r="116" spans="1:10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  <c r="J116" s="3" t="str">
        <f t="shared" si="1"/>
        <v>Not Eligible for loan</v>
      </c>
    </row>
    <row r="117" spans="1:10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  <c r="J117" s="3" t="str">
        <f t="shared" si="1"/>
        <v>Eligible for Loan</v>
      </c>
    </row>
    <row r="118" spans="1:10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  <c r="J118" s="3" t="str">
        <f t="shared" si="1"/>
        <v>Not Eligible for loan</v>
      </c>
    </row>
    <row r="119" spans="1:10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  <c r="J119" s="3" t="str">
        <f t="shared" si="1"/>
        <v>Eligible for Loan</v>
      </c>
    </row>
    <row r="120" spans="1:10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  <c r="J120" s="3" t="str">
        <f t="shared" si="1"/>
        <v>Eligible for Loan</v>
      </c>
    </row>
    <row r="121" spans="1:10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  <c r="J121" s="3" t="str">
        <f t="shared" si="1"/>
        <v>Not Eligible for loan</v>
      </c>
    </row>
    <row r="122" spans="1:10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  <c r="J122" s="3" t="str">
        <f t="shared" si="1"/>
        <v>Missing Value</v>
      </c>
    </row>
    <row r="123" spans="1:10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  <c r="J123" s="3" t="str">
        <f t="shared" si="1"/>
        <v>Not Eligible for loan</v>
      </c>
    </row>
    <row r="124" spans="1:10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  <c r="J124" s="3" t="str">
        <f t="shared" si="1"/>
        <v>Not Eligible for loan</v>
      </c>
    </row>
    <row r="125" spans="1:10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  <c r="J125" s="3" t="str">
        <f t="shared" si="1"/>
        <v>Not Eligible for loan</v>
      </c>
    </row>
    <row r="126" spans="1:10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  <c r="J126" s="3" t="str">
        <f t="shared" si="1"/>
        <v>Eligible for Loan</v>
      </c>
    </row>
    <row r="127" spans="1:10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  <c r="J127" s="3" t="str">
        <f t="shared" si="1"/>
        <v>Eligible for Loan</v>
      </c>
    </row>
    <row r="128" spans="1:10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  <c r="J128" s="3" t="str">
        <f t="shared" si="1"/>
        <v>Eligible for Loan</v>
      </c>
    </row>
    <row r="129" spans="1:10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  <c r="J129" s="3" t="str">
        <f t="shared" si="1"/>
        <v>Eligible for Loan</v>
      </c>
    </row>
    <row r="130" spans="1:10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  <c r="J130" s="3" t="str">
        <f t="shared" si="1"/>
        <v>Not Eligible for loan</v>
      </c>
    </row>
    <row r="131" spans="1:10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  <c r="J131" s="3" t="str">
        <f t="shared" ref="J131:J151" si="2">IF(E131="N/A","Missing Value",IF(E131&gt;=60000,"Eligible for Loan","Not Eligible for loan"))</f>
        <v>Eligible for Loan</v>
      </c>
    </row>
    <row r="132" spans="1:10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  <c r="J132" s="3" t="str">
        <f t="shared" si="2"/>
        <v>Not Eligible for loan</v>
      </c>
    </row>
    <row r="133" spans="1:10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  <c r="J133" s="3" t="str">
        <f t="shared" si="2"/>
        <v>Not Eligible for loan</v>
      </c>
    </row>
    <row r="134" spans="1:10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  <c r="J134" s="3" t="str">
        <f t="shared" si="2"/>
        <v>Not Eligible for loan</v>
      </c>
    </row>
    <row r="135" spans="1:10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  <c r="J135" s="3" t="str">
        <f t="shared" si="2"/>
        <v>Not Eligible for loan</v>
      </c>
    </row>
    <row r="136" spans="1:10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  <c r="J136" s="3" t="str">
        <f t="shared" si="2"/>
        <v>Eligible for Loan</v>
      </c>
    </row>
    <row r="137" spans="1:10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  <c r="J137" s="3" t="str">
        <f t="shared" si="2"/>
        <v>Not Eligible for loan</v>
      </c>
    </row>
    <row r="138" spans="1:10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  <c r="J138" s="3" t="str">
        <f t="shared" si="2"/>
        <v>Eligible for Loan</v>
      </c>
    </row>
    <row r="139" spans="1:10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  <c r="J139" s="3" t="str">
        <f t="shared" si="2"/>
        <v>Eligible for Loan</v>
      </c>
    </row>
    <row r="140" spans="1:10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  <c r="J140" s="3" t="str">
        <f t="shared" si="2"/>
        <v>Eligible for Loan</v>
      </c>
    </row>
    <row r="141" spans="1:10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  <c r="J141" s="3" t="str">
        <f t="shared" si="2"/>
        <v>Eligible for Loan</v>
      </c>
    </row>
    <row r="142" spans="1:10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  <c r="J142" s="3" t="str">
        <f t="shared" si="2"/>
        <v>Missing Value</v>
      </c>
    </row>
    <row r="143" spans="1:10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  <c r="J143" s="3" t="str">
        <f t="shared" si="2"/>
        <v>Eligible for Loan</v>
      </c>
    </row>
    <row r="144" spans="1:10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  <c r="J144" s="3" t="str">
        <f t="shared" si="2"/>
        <v>Eligible for Loan</v>
      </c>
    </row>
    <row r="145" spans="1:10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  <c r="J145" s="3" t="str">
        <f t="shared" si="2"/>
        <v>Eligible for Loan</v>
      </c>
    </row>
    <row r="146" spans="1:10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  <c r="J146" s="3" t="str">
        <f t="shared" si="2"/>
        <v>Eligible for Loan</v>
      </c>
    </row>
    <row r="147" spans="1:10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  <c r="J147" s="3" t="str">
        <f t="shared" si="2"/>
        <v>Not Eligible for loan</v>
      </c>
    </row>
    <row r="148" spans="1:10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  <c r="J148" s="3" t="str">
        <f t="shared" si="2"/>
        <v>Not Eligible for loan</v>
      </c>
    </row>
    <row r="149" spans="1:10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  <c r="J149" s="3" t="str">
        <f t="shared" si="2"/>
        <v>Eligible for Loan</v>
      </c>
    </row>
    <row r="150" spans="1:10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  <c r="J150" s="3" t="str">
        <f t="shared" si="2"/>
        <v>Eligible for Loan</v>
      </c>
    </row>
    <row r="151" spans="1:10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  <c r="J151" s="3" t="str">
        <f t="shared" si="2"/>
        <v>Eligible for Loan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40FB-53F8-453B-8428-AA692E1142CA}">
  <sheetPr>
    <tabColor rgb="FFFFFF00"/>
  </sheetPr>
  <dimension ref="A1:A5"/>
  <sheetViews>
    <sheetView workbookViewId="0">
      <selection activeCell="A2" sqref="A2"/>
    </sheetView>
  </sheetViews>
  <sheetFormatPr defaultRowHeight="14.4" x14ac:dyDescent="0.3"/>
  <cols>
    <col min="1" max="1" width="130.5546875" bestFit="1" customWidth="1"/>
  </cols>
  <sheetData>
    <row r="1" spans="1:1" ht="18" x14ac:dyDescent="0.3">
      <c r="A1" s="13" t="s">
        <v>285</v>
      </c>
    </row>
    <row r="2" spans="1:1" x14ac:dyDescent="0.3">
      <c r="A2" s="11" t="s">
        <v>286</v>
      </c>
    </row>
    <row r="3" spans="1:1" x14ac:dyDescent="0.3">
      <c r="A3" s="12" t="s">
        <v>287</v>
      </c>
    </row>
    <row r="4" spans="1:1" x14ac:dyDescent="0.3">
      <c r="A4" s="11" t="s">
        <v>289</v>
      </c>
    </row>
    <row r="5" spans="1:1" x14ac:dyDescent="0.3">
      <c r="A5" s="12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265CF3-53B4-4C45-9062-4B1D6581B6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Summary</vt:lpstr>
      <vt:lpstr>Emp_ID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2026-01-29T10:04:55Z</dcterms:modified>
</cp:coreProperties>
</file>