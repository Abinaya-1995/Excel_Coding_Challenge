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206F872B-8D60-44E0-ADF0-659E90B09FB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Cleaning" sheetId="7" r:id="rId2"/>
    <sheet name="Cleaned_Table" sheetId="8" r:id="rId3"/>
    <sheet name="Pivot_Table" sheetId="9" r:id="rId4"/>
    <sheet name="Pivot_Chart" sheetId="10" r:id="rId5"/>
  </sheets>
  <definedNames>
    <definedName name="ExternalData_1" localSheetId="2" hidden="1">Cleaned_Table!$A$1:$J$150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<sst xmlns="http://schemas.openxmlformats.org/spreadsheetml/2006/main" count="2595" uniqueCount="313">
  <si>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</si>
  <si>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</si>
  <si>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</si>
  <si>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</si>
  <si>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</si>
  <si>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</si>
  <si>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</si>
  <si>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</si>
  <si>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</si>
  <si>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</si>
  <si>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</si>
  <si>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</si>
  <si>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</si>
  <si>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</si>
  <si>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</si>
  <si>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</si>
  <si>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</si>
  <si>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</si>
  <si>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</si>
  <si>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</si>
  <si>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</si>
  <si>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</si>
  <si>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</si>
  <si>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</si>
  <si>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</si>
  <si>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</si>
  <si>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</si>
  <si>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</si>
  <si>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</si>
  <si>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</si>
  <si>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</si>
  <si>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</si>
  <si>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</si>
  <si>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</si>
  <si>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</si>
  <si>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</si>
  <si>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</si>
  <si>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</si>
  <si>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</si>
  <si>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</si>
  <si>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</si>
  <si>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</si>
  <si>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</si>
  <si>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</si>
  <si>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</si>
  <si>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</si>
  <si>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</si>
  <si>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</si>
  <si>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</si>
  <si>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</si>
  <si>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</si>
  <si>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</si>
  <si>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</si>
  <si>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</si>
  <si>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</si>
  <si>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</si>
  <si>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</si>
  <si>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</si>
  <si>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</si>
  <si>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</si>
  <si>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</si>
  <si>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</si>
  <si>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</si>
  <si>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</si>
  <si>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</si>
  <si>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</si>
  <si>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</si>
  <si>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</si>
  <si>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</si>
  <si>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</si>
  <si>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</si>
  <si>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</si>
  <si>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</si>
  <si>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</si>
  <si>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</si>
  <si>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</si>
  <si>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</si>
  <si>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</si>
  <si>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</si>
  <si>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</si>
  <si>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</si>
  <si>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</si>
  <si>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</si>
  <si>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</si>
  <si>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</si>
  <si>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</si>
  <si>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</si>
  <si>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</si>
  <si>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</si>
  <si>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</si>
  <si>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</si>
  <si>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</si>
  <si>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</si>
  <si>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</si>
  <si>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</si>
  <si>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</si>
  <si>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</si>
  <si>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</si>
  <si>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</si>
  <si>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</si>
  <si>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</si>
  <si>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</si>
  <si>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</si>
  <si>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</si>
  <si>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</si>
  <si>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</si>
  <si>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</si>
  <si>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</si>
  <si>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</si>
  <si>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</si>
  <si>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</si>
  <si>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</si>
  <si>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</si>
  <si>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</si>
  <si>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</si>
  <si>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</si>
  <si>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</si>
  <si>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</si>
  <si>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</si>
  <si>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</si>
  <si>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</si>
  <si>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</si>
  <si>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</si>
  <si>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</si>
  <si>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</si>
  <si>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</si>
  <si>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</si>
  <si>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</si>
  <si>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</si>
  <si>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</si>
  <si>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</si>
  <si>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</si>
  <si>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</si>
  <si>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</si>
  <si>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</si>
  <si>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</si>
  <si>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</si>
  <si>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</si>
  <si>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</si>
  <si>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</si>
  <si>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</si>
  <si>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</si>
  <si>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</si>
  <si>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</si>
  <si>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</si>
  <si>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</si>
  <si>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</si>
  <si>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</si>
  <si>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</si>
  <si>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</si>
  <si>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</si>
  <si>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</si>
  <si>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</si>
  <si>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</si>
  <si>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</si>
  <si>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</si>
  <si>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</si>
  <si>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</si>
  <si>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</si>
  <si>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</si>
  <si>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</si>
  <si>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</si>
  <si>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</si>
  <si>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</si>
  <si>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</si>
  <si>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</si>
  <si>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</si>
  <si>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</si>
  <si>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</si>
  <si>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</si>
  <si>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</si>
  <si>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</si>
  <si>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</si>
  <si>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</si>
  <si>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</si>
  <si>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</si>
  <si>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</si>
  <si>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</si>
  <si>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</si>
  <si>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</si>
  <si>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</si>
  <si>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</si>
  <si>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</si>
  <si>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</si>
  <si>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</si>
  <si>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</si>
  <si>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</si>
  <si>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</si>
  <si>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</si>
  <si>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</si>
  <si>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</si>
  <si>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</si>
  <si>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</si>
  <si>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</si>
  <si>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</si>
  <si>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</si>
  <si>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</si>
  <si>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</si>
  <si>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</si>
  <si>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</si>
  <si>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</si>
  <si>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</si>
  <si>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</si>
  <si>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</si>
  <si>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</si>
  <si>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</si>
  <si>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</si>
  <si>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</si>
  <si>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</si>
  <si>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</si>
  <si>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</si>
  <si>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</si>
  <si>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</si>
  <si>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</si>
  <si>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</si>
  <si>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</si>
  <si>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</si>
  <si>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</si>
  <si>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</si>
  <si>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</si>
  <si>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</si>
  <si>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</si>
  <si>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</si>
  <si>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</si>
  <si>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</si>
  <si>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</si>
  <si>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</si>
  <si>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</si>
  <si>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</si>
  <si>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</si>
  <si>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</si>
  <si>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</si>
  <si>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</si>
  <si>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</si>
  <si>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</si>
  <si>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</si>
  <si>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</si>
  <si>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</si>
  <si>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</si>
  <si>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</si>
  <si>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</si>
  <si>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</si>
  <si>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</si>
  <si>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</si>
  <si>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</si>
  <si>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</si>
  <si>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</si>
  <si>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</si>
  <si>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</si>
  <si>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</si>
  <si>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</si>
  <si>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</si>
  <si>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</si>
  <si>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</si>
  <si>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</si>
  <si>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</si>
  <si>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</si>
  <si>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</si>
  <si>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</si>
  <si>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</si>
  <si>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</si>
  <si>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</si>
  <si>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</si>
  <si>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</si>
  <si>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</si>
  <si>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</si>
  <si>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</si>
  <si>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</si>
  <si>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</si>
  <si>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</si>
  <si>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</si>
  <si>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</si>
  <si>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</si>
  <si>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</si>
  <si>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</si>
  <si>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</si>
  <si>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</si>
  <si>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</si>
  <si>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</si>
  <si>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</si>
  <si>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</si>
  <si>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</si>
  <si>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</si>
  <si>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</si>
  <si>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</si>
  <si>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</si>
  <si>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</si>
  <si>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</si>
  <si>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Grand Total</t>
  </si>
  <si>
    <t>Row Labels</t>
  </si>
  <si>
    <t>Sum of Salary</t>
  </si>
  <si>
    <t>Count of Employee ID</t>
  </si>
  <si>
    <t>Observation</t>
  </si>
  <si>
    <t>1. PIVOT TABLE is helps we organize and analyza the data.</t>
  </si>
  <si>
    <t>2. It is used for add and remove values, perform calculations,</t>
  </si>
  <si>
    <t>and to filter and sort data sets.</t>
  </si>
  <si>
    <t>3. In this dataset, I analyze spent how much amount of salary on Department wise.</t>
  </si>
  <si>
    <t>4. The  total number of Employee counts.</t>
  </si>
  <si>
    <t>5. Gender wise count of Employees.</t>
  </si>
  <si>
    <t>6. Finally, Employee counts vs  Country.</t>
  </si>
  <si>
    <t>Description</t>
  </si>
  <si>
    <t xml:space="preserve">The Sales deaprtment has the highest total salary. Finance has the lowest </t>
  </si>
  <si>
    <t xml:space="preserve">total salary compared to other departments. The IT deaprtment doing great </t>
  </si>
  <si>
    <t>performance compared to Finance and HR. The highest employees from Female gender.</t>
  </si>
  <si>
    <t xml:space="preserve">and better performance. India has the highest number of employees, which affects overall </t>
  </si>
  <si>
    <t>results. Finance has lower salary due to lower employees.</t>
  </si>
  <si>
    <t>may increase in these departments. This trend may continue in the future.</t>
  </si>
  <si>
    <t>Sales and IT. Training should be given to Low-Performing departments like Finance and HR.</t>
  </si>
  <si>
    <t>This will improve overall performance.</t>
  </si>
  <si>
    <r>
      <rPr>
        <b/>
        <sz val="11"/>
        <color theme="1"/>
        <rFont val="Calibri"/>
        <family val="2"/>
        <scheme val="minor"/>
      </rPr>
      <t xml:space="preserve">Descriptive Analysis </t>
    </r>
    <r>
      <rPr>
        <sz val="11"/>
        <color theme="1"/>
        <rFont val="Calibri"/>
        <family val="2"/>
        <scheme val="minor"/>
      </rPr>
      <t xml:space="preserve">: This dataset has 149 Employee with 5 departments. </t>
    </r>
  </si>
  <si>
    <r>
      <rPr>
        <b/>
        <sz val="11"/>
        <color theme="1"/>
        <rFont val="Calibri"/>
        <family val="2"/>
        <scheme val="minor"/>
      </rPr>
      <t>Diagnostic Analysis</t>
    </r>
    <r>
      <rPr>
        <sz val="11"/>
        <color theme="1"/>
        <rFont val="Calibri"/>
        <family val="2"/>
        <scheme val="minor"/>
      </rPr>
      <t xml:space="preserve"> : Sales and IT have higher total salary because they have more employees</t>
    </r>
  </si>
  <si>
    <r>
      <rPr>
        <b/>
        <sz val="11"/>
        <color theme="1"/>
        <rFont val="Calibri"/>
        <family val="2"/>
        <scheme val="minor"/>
      </rPr>
      <t>Predictive Analysis</t>
    </r>
    <r>
      <rPr>
        <sz val="11"/>
        <color theme="1"/>
        <rFont val="Calibri"/>
        <family val="2"/>
        <scheme val="minor"/>
      </rPr>
      <t xml:space="preserve"> : Sales and IT may continue to perform well. Total salary and performance</t>
    </r>
  </si>
  <si>
    <r>
      <rPr>
        <b/>
        <sz val="11"/>
        <color theme="1"/>
        <rFont val="Calibri"/>
        <family val="2"/>
        <scheme val="minor"/>
      </rPr>
      <t>Prescriptive Analysis</t>
    </r>
    <r>
      <rPr>
        <sz val="11"/>
        <color theme="1"/>
        <rFont val="Calibri"/>
        <family val="2"/>
        <scheme val="minor"/>
      </rPr>
      <t xml:space="preserve"> : This company should focus more on High-Performing departments like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</si>
</sst>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[Day_17_Charts and Graphs(2).xlsx]Pivot_Table!PivotTable1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Salary vs department</a:t>
            </a:r>
          </a:p>
        </c:rich>
      </c:tx>
      <c:layout>
        <c:manualLayout>
          <c:xMode val="edge"/>
          <c:yMode val="edge"/>
          <c:x val="0.31729155730533676"/>
          <c:y val="3.6016287239019597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Pivot_Table!$B$4:$B$9</c:f>
              <c:numCache>
                <c:formatCode>"$"#,##0</c:formatCode>
                <c:ptCount val="5"/>
                <c:pt idx="0">
                  <c:v>1460653.55</c:v>
                </c:pt>
                <c:pt idx="1">
                  <c:v>1861394.5652000001</c:v>
                </c:pt>
                <c:pt idx="2">
                  <c:v>2215845.5</c:v>
                </c:pt>
                <c:pt idx="3">
                  <c:v>1846914.0769</c:v>
                </c:pt>
                <c:pt idx="4">
                  <c:v>2485670.08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0-42AB-970B-16D135002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62251951"/>
        <c:axId val="62250511"/>
      </c:barChart>
      <c:catAx>
        <c:axId val="6225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0511"/>
        <c:crosses val="autoZero"/>
        <c:auto val="1"/>
        <c:lblAlgn val="ctr"/>
        <c:lblOffset val="100"/>
        <c:noMultiLvlLbl val="0"/>
      </c:catAx>
      <c:valAx>
        <c:axId val="62250511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6225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[Day_17_Charts and Graphs(2).xlsx]Pivot_Table!PivotTable4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EMPLOYEES BY GENDER </a:t>
            </a:r>
          </a:p>
        </c:rich>
      </c:tx>
      <c:layout>
        <c:manualLayout>
          <c:xMode val="edge"/>
          <c:yMode val="edge"/>
          <c:x val="0.37166666666666665"/>
          <c:y val="3.7037037037037042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rgbClr val="4F81BD">
                    <a:lumMod val="5000"/>
                    <a:lumOff val="95000"/>
                  </a:srgbClr>
                </a:gs>
                <a:gs pos="74000">
                  <a:srgbClr val="4F81BD">
                    <a:lumMod val="45000"/>
                    <a:lumOff val="55000"/>
                  </a:srgbClr>
                </a:gs>
                <a:gs pos="83000">
                  <a:srgbClr val="4F81BD">
                    <a:lumMod val="45000"/>
                    <a:lumOff val="55000"/>
                  </a:srgbClr>
                </a:gs>
                <a:gs pos="100000">
                  <a:srgbClr val="4F81BD">
                    <a:lumMod val="30000"/>
                    <a:lumOff val="70000"/>
                  </a:srgbClr>
                </a:gs>
              </a:gsLst>
              <a:lin ang="5400000" scaled="1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8.6111111111110902E-2"/>
              <c:y val="4.6296296296296294E-3"/>
            </c:manualLayout>
          </c:layout>
          <c:spPr>
            <a:gradFill>
              <a:gsLst>
                <a:gs pos="0">
                  <a:srgbClr val="4F81BD">
                    <a:lumMod val="5000"/>
                    <a:lumOff val="95000"/>
                  </a:srgbClr>
                </a:gs>
                <a:gs pos="74000">
                  <a:srgbClr val="4F81BD">
                    <a:lumMod val="45000"/>
                    <a:lumOff val="55000"/>
                  </a:srgbClr>
                </a:gs>
                <a:gs pos="83000">
                  <a:srgbClr val="4F81BD">
                    <a:lumMod val="45000"/>
                    <a:lumOff val="55000"/>
                  </a:srgbClr>
                </a:gs>
                <a:gs pos="100000">
                  <a:srgbClr val="4F81BD">
                    <a:lumMod val="30000"/>
                    <a:lumOff val="70000"/>
                  </a:srgbClr>
                </a:gs>
              </a:gsLst>
              <a:lin ang="5400000" scaled="1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0.18055555555555555"/>
              <c:y val="-2.7777777777777776E-2"/>
            </c:manualLayout>
          </c:layout>
          <c:spPr>
            <a:gradFill>
              <a:gsLst>
                <a:gs pos="0">
                  <a:srgbClr val="4F81BD">
                    <a:lumMod val="5000"/>
                    <a:lumOff val="95000"/>
                  </a:srgbClr>
                </a:gs>
                <a:gs pos="74000">
                  <a:srgbClr val="4F81BD">
                    <a:lumMod val="45000"/>
                    <a:lumOff val="55000"/>
                  </a:srgbClr>
                </a:gs>
                <a:gs pos="83000">
                  <a:srgbClr val="4F81BD">
                    <a:lumMod val="45000"/>
                    <a:lumOff val="55000"/>
                  </a:srgbClr>
                </a:gs>
                <a:gs pos="100000">
                  <a:srgbClr val="4F81BD">
                    <a:lumMod val="30000"/>
                    <a:lumOff val="70000"/>
                  </a:srgbClr>
                </a:gs>
              </a:gsLst>
              <a:lin ang="5400000" scaled="1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52712160979877"/>
                  <c:h val="0.11673082531350248"/>
                </c:manualLayout>
              </c15:layout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-7.4999999999999997E-2"/>
              <c:y val="0.25925925925925919"/>
            </c:manualLayout>
          </c:layout>
          <c:spPr>
            <a:gradFill>
              <a:gsLst>
                <a:gs pos="0">
                  <a:srgbClr val="4F81BD">
                    <a:lumMod val="5000"/>
                    <a:lumOff val="95000"/>
                  </a:srgbClr>
                </a:gs>
                <a:gs pos="74000">
                  <a:srgbClr val="4F81BD">
                    <a:lumMod val="45000"/>
                    <a:lumOff val="55000"/>
                  </a:srgbClr>
                </a:gs>
                <a:gs pos="83000">
                  <a:srgbClr val="4F81BD">
                    <a:lumMod val="45000"/>
                    <a:lumOff val="55000"/>
                  </a:srgbClr>
                </a:gs>
                <a:gs pos="100000">
                  <a:srgbClr val="4F81BD">
                    <a:lumMod val="30000"/>
                    <a:lumOff val="70000"/>
                  </a:srgbClr>
                </a:gs>
              </a:gsLst>
              <a:lin ang="5400000" scaled="1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-0.25555555555555554"/>
              <c:y val="8.3333333333333329E-2"/>
            </c:manualLayout>
          </c:layout>
          <c:spPr>
            <a:gradFill>
              <a:gsLst>
                <a:gs pos="0">
                  <a:srgbClr val="4F81BD">
                    <a:lumMod val="5000"/>
                    <a:lumOff val="95000"/>
                  </a:srgbClr>
                </a:gs>
                <a:gs pos="74000">
                  <a:srgbClr val="4F81BD">
                    <a:lumMod val="45000"/>
                    <a:lumOff val="55000"/>
                  </a:srgbClr>
                </a:gs>
                <a:gs pos="83000">
                  <a:srgbClr val="4F81BD">
                    <a:lumMod val="45000"/>
                    <a:lumOff val="55000"/>
                  </a:srgbClr>
                </a:gs>
                <a:gs pos="100000">
                  <a:srgbClr val="4F81BD">
                    <a:lumMod val="30000"/>
                    <a:lumOff val="70000"/>
                  </a:srgbClr>
                </a:gs>
              </a:gsLst>
              <a:lin ang="5400000" scaled="1"/>
            </a:gra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Pivot_Table!$E$6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  <a:effectLst/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A7-42BC-9FFD-664F8012D2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A7-42BC-9FFD-664F8012D2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A7-42BC-9FFD-664F8012D2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A7-42BC-9FFD-664F8012D2F3}"/>
              </c:ext>
            </c:extLst>
          </c:dPt>
          <c:dLbls>
            <c:dLbl>
              <c:idx val="0"/>
              <c:layout>
                <c:manualLayout>
                  <c:x val="8.6111111111110902E-2"/>
                  <c:y val="4.629629629629629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A7-42BC-9FFD-664F8012D2F3}"/>
                </c:ext>
              </c:extLst>
            </c:dLbl>
            <c:dLbl>
              <c:idx val="1"/>
              <c:layout>
                <c:manualLayout>
                  <c:x val="0.18055555555555555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552712160979877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5A7-42BC-9FFD-664F8012D2F3}"/>
                </c:ext>
              </c:extLst>
            </c:dLbl>
            <c:dLbl>
              <c:idx val="2"/>
              <c:layout>
                <c:manualLayout>
                  <c:x val="-7.4999999999999997E-2"/>
                  <c:y val="0.259259259259259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A7-42BC-9FFD-664F8012D2F3}"/>
                </c:ext>
              </c:extLst>
            </c:dLbl>
            <c:dLbl>
              <c:idx val="3"/>
              <c:layout>
                <c:manualLayout>
                  <c:x val="-0.25555555555555554"/>
                  <c:y val="8.33333333333333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A7-42BC-9FFD-664F8012D2F3}"/>
                </c:ext>
              </c:extLst>
            </c:dLbl>
            <c:spPr>
              <a:gradFill>
                <a:gsLst>
                  <a:gs pos="0">
                    <a:srgbClr val="4F81BD">
                      <a:lumMod val="5000"/>
                      <a:lumOff val="95000"/>
                    </a:srgbClr>
                  </a:gs>
                  <a:gs pos="74000">
                    <a:srgbClr val="4F81BD">
                      <a:lumMod val="45000"/>
                      <a:lumOff val="55000"/>
                    </a:srgbClr>
                  </a:gs>
                  <a:gs pos="83000">
                    <a:srgbClr val="4F81BD">
                      <a:lumMod val="45000"/>
                      <a:lumOff val="55000"/>
                    </a:srgbClr>
                  </a:gs>
                  <a:gs pos="100000">
                    <a:srgbClr val="4F81BD">
                      <a:lumMod val="30000"/>
                      <a:lumOff val="70000"/>
                    </a:srgbClr>
                  </a:gs>
                </a:gsLst>
                <a:lin ang="5400000" scaled="1"/>
              </a:gra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Pivot_Table!$D$7:$D$11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Pivot_Table!$E$7:$E$11</c:f>
              <c:numCache>
                <c:formatCode>General</c:formatCode>
                <c:ptCount val="4"/>
                <c:pt idx="0">
                  <c:v>53</c:v>
                </c:pt>
                <c:pt idx="1">
                  <c:v>39</c:v>
                </c:pt>
                <c:pt idx="2">
                  <c:v>50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A7-42BC-9FFD-664F8012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[Day_17_Charts and Graphs(2).xlsx]Pivot_Table!PivotTable2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Employee count by Department</a:t>
            </a:r>
          </a:p>
        </c:rich>
      </c:tx>
      <c:layout>
        <c:manualLayout>
          <c:xMode val="edge"/>
          <c:yMode val="edge"/>
          <c:x val="0.23476377952755906"/>
          <c:y val="2.8901734104046242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Pivot_Table!$E$13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Pivot_Table!$D$14:$D$19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Pivot_Table!$E$14:$E$19</c:f>
              <c:numCache>
                <c:formatCode>General</c:formatCode>
                <c:ptCount val="5"/>
                <c:pt idx="0">
                  <c:v>23</c:v>
                </c:pt>
                <c:pt idx="1">
                  <c:v>28</c:v>
                </c:pt>
                <c:pt idx="2">
                  <c:v>32</c:v>
                </c:pt>
                <c:pt idx="3">
                  <c:v>29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F-4F6F-A13E-E6832E16E8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707758495"/>
        <c:axId val="707758975"/>
      </c:barChart>
      <c:catAx>
        <c:axId val="70775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58975"/>
        <c:crosses val="autoZero"/>
        <c:auto val="1"/>
        <c:lblAlgn val="ctr"/>
        <c:lblOffset val="100"/>
        <c:noMultiLvlLbl val="0"/>
      </c:catAx>
      <c:valAx>
        <c:axId val="7077589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775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[Day_17_Charts and Graphs(2).xlsx]Pivot_Table!PivotTable5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</a:rPr>
              <a:t>employee count by country</a:t>
            </a:r>
          </a:p>
        </c:rich>
      </c:tx>
      <c:layout>
        <c:manualLayout>
          <c:xMode val="edge"/>
          <c:yMode val="edge"/>
          <c:x val="0.15725148049961091"/>
          <c:y val="3.3428844317096466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5"/>
            </a:outerShdw>
          </a:effectLst>
        </c:spPr>
        <c:marker>
          <c:symbol val="circle"/>
          <c:size val="5"/>
          <c:spPr>
            <a:solidFill>
              <a:schemeClr val="accent5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915504908620096E-2"/>
          <c:y val="0.17340019102196752"/>
          <c:w val="0.90237539403052003"/>
          <c:h val="0.70626424204137805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Pivot_Table!$B$13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circle"/>
            <c:size val="5"/>
            <c:spPr>
              <a:solidFill>
                <a:schemeClr val="accent5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Pivot_Table!$A$14:$A$20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Pivot_Table!$B$14:$B$20</c:f>
              <c:numCache>
                <c:formatCode>General</c:formatCode>
                <c:ptCount val="6"/>
                <c:pt idx="0">
                  <c:v>19</c:v>
                </c:pt>
                <c:pt idx="1">
                  <c:v>23</c:v>
                </c:pt>
                <c:pt idx="2">
                  <c:v>43</c:v>
                </c:pt>
                <c:pt idx="3">
                  <c:v>30</c:v>
                </c:pt>
                <c:pt idx="4">
                  <c:v>10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453F-981E-37FFED9DCE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glow rad="63500">
                <a:srgbClr val="0070C0">
                  <a:alpha val="40000"/>
                </a:srgbClr>
              </a:glow>
            </a:effectLst>
          </c:spPr>
        </c:dropLines>
        <c:marker val="1"/>
        <c:smooth val="0"/>
        <c:axId val="707767135"/>
        <c:axId val="707767615"/>
      </c:lineChart>
      <c:catAx>
        <c:axId val="707767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67615"/>
        <c:crosses val="autoZero"/>
        <c:auto val="1"/>
        <c:lblAlgn val="ctr"/>
        <c:lblOffset val="100"/>
        <c:noMultiLvlLbl val="0"/>
      </c:catAx>
      <c:valAx>
        <c:axId val="707767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776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50000"/>
          <a:alpha val="96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60960</xdr:rowOff>
    </xdr:from>
    <xdr:to>
      <xdr:col>7</xdr:col>
      <xdr:colOff>327660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70059-27B6-413F-9CC3-61A162D4E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0</xdr:row>
      <xdr:rowOff>60960</xdr:rowOff>
    </xdr:from>
    <xdr:to>
      <xdr:col>15</xdr:col>
      <xdr:colOff>60960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66C3D-580D-4CCD-9966-0CDAED08A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83820</xdr:rowOff>
    </xdr:from>
    <xdr:to>
      <xdr:col>7</xdr:col>
      <xdr:colOff>304800</xdr:colOff>
      <xdr:row>28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7AB3D-5229-4399-80B0-2BF67D9F4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14</xdr:row>
      <xdr:rowOff>99060</xdr:rowOff>
    </xdr:from>
    <xdr:to>
      <xdr:col>15</xdr:col>
      <xdr:colOff>60960</xdr:colOff>
      <xdr:row>28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BE3421-7DC5-426A-93C5-4E13D50DD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53.597863888892" createdVersion="8" refreshedVersion="8" minRefreshableVersion="3" recordCount="149" xr:uid="{12D98E01-41BF-4B5F-A787-9FDDA09510A6}">
  <cacheSource type="worksheet">
    <worksheetSource name="Table13_1"/>
  </cacheSource>
  <cacheFields count="10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 1" numFmtId="0">
      <sharedItems/>
    </cacheField>
    <cacheField name="Country" numFmtId="0">
      <sharedItems count="6">
        <s v="Germany"/>
        <s v="USA"/>
        <s v="India"/>
        <s v="UK"/>
        <s v="Australia"/>
        <s v="Unknown"/>
      </sharedItems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minValue="1" maxValue="5"/>
    </cacheField>
    <cacheField name="Gender" numFmtId="0">
      <sharedItems count="4">
        <s v="Other"/>
        <s v="Female"/>
        <s v="Male"/>
        <s v="Unknown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Eve Adams"/>
    <x v="0"/>
    <s v="Germany"/>
    <x v="0"/>
    <n v="54255"/>
    <d v="2015-01-11T00:00:00"/>
    <n v="1"/>
    <x v="0"/>
    <s v="user106@example.com"/>
  </r>
  <r>
    <x v="1"/>
    <s v="Alice Brown"/>
    <x v="1"/>
    <s v="Germany"/>
    <x v="0"/>
    <n v="63184"/>
    <d v="2015-01-18T00:00:00"/>
    <n v="2"/>
    <x v="1"/>
    <s v="user18@example.com"/>
  </r>
  <r>
    <x v="2"/>
    <s v="John Doe"/>
    <x v="2"/>
    <s v="USA"/>
    <x v="1"/>
    <n v="94406"/>
    <d v="2015-01-25T00:00:00"/>
    <n v="1"/>
    <x v="2"/>
    <s v="user1@example.com"/>
  </r>
  <r>
    <x v="3"/>
    <s v="Jane Smith"/>
    <x v="2"/>
    <s v="Germany"/>
    <x v="0"/>
    <n v="64120"/>
    <d v="2015-02-01T00:00:00"/>
    <n v="1"/>
    <x v="2"/>
    <s v="user38@example.com"/>
  </r>
  <r>
    <x v="4"/>
    <s v="Alice Brown"/>
    <x v="3"/>
    <s v="India"/>
    <x v="2"/>
    <n v="78421"/>
    <d v="2015-02-08T00:00:00"/>
    <n v="2"/>
    <x v="1"/>
    <s v="user200@example.com"/>
  </r>
  <r>
    <x v="5"/>
    <s v="Sam Wilson"/>
    <x v="2"/>
    <s v="India"/>
    <x v="2"/>
    <n v="67721"/>
    <d v="2015-02-15T00:00:00"/>
    <n v="2.879032258064516"/>
    <x v="2"/>
    <s v="user68@example.com"/>
  </r>
  <r>
    <x v="6"/>
    <s v="Chris Lee"/>
    <x v="4"/>
    <s v="India"/>
    <x v="2"/>
    <n v="35364"/>
    <d v="2015-02-22T00:00:00"/>
    <n v="2"/>
    <x v="0"/>
    <s v="user135@example.com"/>
  </r>
  <r>
    <x v="7"/>
    <s v="Alice Brown"/>
    <x v="3"/>
    <s v="Germany"/>
    <x v="0"/>
    <n v="97881"/>
    <d v="2015-03-01T00:00:00"/>
    <n v="2.879032258064516"/>
    <x v="1"/>
    <s v="Unknown"/>
  </r>
  <r>
    <x v="8"/>
    <s v="Chris Lee"/>
    <x v="0"/>
    <s v="UK"/>
    <x v="3"/>
    <n v="91846"/>
    <d v="2015-03-08T00:00:00"/>
    <n v="2.879032258064516"/>
    <x v="2"/>
    <s v="user42@example.com"/>
  </r>
  <r>
    <x v="9"/>
    <s v="Sam Wilson"/>
    <x v="1"/>
    <s v="UK"/>
    <x v="3"/>
    <n v="64247"/>
    <d v="2015-03-15T00:00:00"/>
    <n v="1"/>
    <x v="1"/>
    <s v="user57@example.com"/>
  </r>
  <r>
    <x v="10"/>
    <s v="Sam Wilson"/>
    <x v="3"/>
    <s v="USA"/>
    <x v="1"/>
    <n v="91180"/>
    <d v="2015-03-22T00:00:00"/>
    <n v="5"/>
    <x v="2"/>
    <s v="user24@example.com"/>
  </r>
  <r>
    <x v="11"/>
    <s v="Bob Johnson"/>
    <x v="2"/>
    <s v="India"/>
    <x v="2"/>
    <n v="96418"/>
    <d v="2015-03-29T00:00:00"/>
    <n v="5"/>
    <x v="2"/>
    <s v="user103@example.com"/>
  </r>
  <r>
    <x v="12"/>
    <s v="Sam Wilson"/>
    <x v="3"/>
    <s v="India"/>
    <x v="2"/>
    <n v="62158"/>
    <d v="2015-04-05T00:00:00"/>
    <n v="4"/>
    <x v="3"/>
    <s v="user200@example.com"/>
  </r>
  <r>
    <x v="13"/>
    <s v="Jane Smith"/>
    <x v="0"/>
    <s v="India"/>
    <x v="2"/>
    <n v="59894"/>
    <d v="2015-04-12T00:00:00"/>
    <n v="2"/>
    <x v="2"/>
    <s v="user103@example.com"/>
  </r>
  <r>
    <x v="14"/>
    <s v="Unknown"/>
    <x v="3"/>
    <s v="India"/>
    <x v="2"/>
    <n v="92443"/>
    <d v="2015-04-19T00:00:00"/>
    <n v="3"/>
    <x v="0"/>
    <s v="user77@example.com"/>
  </r>
  <r>
    <x v="15"/>
    <s v="Bob Johnson"/>
    <x v="0"/>
    <s v="Germany"/>
    <x v="0"/>
    <n v="90271"/>
    <d v="2015-04-26T00:00:00"/>
    <n v="2.879032258064516"/>
    <x v="0"/>
    <s v="user97@example.com"/>
  </r>
  <r>
    <x v="16"/>
    <s v="Jane Smith"/>
    <x v="1"/>
    <s v="Australia"/>
    <x v="4"/>
    <n v="41341"/>
    <d v="2015-05-03T00:00:00"/>
    <n v="1"/>
    <x v="0"/>
    <s v="user192@example.com"/>
  </r>
  <r>
    <x v="17"/>
    <s v="Alice Brown"/>
    <x v="1"/>
    <s v="UK"/>
    <x v="3"/>
    <n v="73602"/>
    <d v="2015-05-10T00:00:00"/>
    <n v="2.879032258064516"/>
    <x v="1"/>
    <s v="user20@example.com"/>
  </r>
  <r>
    <x v="18"/>
    <s v="Eve Adams"/>
    <x v="3"/>
    <s v="India"/>
    <x v="2"/>
    <n v="67531"/>
    <d v="2015-05-17T00:00:00"/>
    <n v="5"/>
    <x v="1"/>
    <s v="user92@example.com"/>
  </r>
  <r>
    <x v="19"/>
    <s v="Jane Smith"/>
    <x v="0"/>
    <s v="USA"/>
    <x v="1"/>
    <n v="67834.565199999997"/>
    <d v="2015-05-24T00:00:00"/>
    <n v="2"/>
    <x v="0"/>
    <s v="user65@example.com"/>
  </r>
  <r>
    <x v="20"/>
    <s v="Jane Smith"/>
    <x v="0"/>
    <s v="India"/>
    <x v="2"/>
    <n v="98922"/>
    <d v="2015-05-31T00:00:00"/>
    <n v="4"/>
    <x v="2"/>
    <s v="user150@example.com"/>
  </r>
  <r>
    <x v="21"/>
    <s v="Eve Adams"/>
    <x v="1"/>
    <s v="India"/>
    <x v="2"/>
    <n v="38333"/>
    <d v="2015-06-07T00:00:00"/>
    <n v="5"/>
    <x v="0"/>
    <s v="user153@example.com"/>
  </r>
  <r>
    <x v="22"/>
    <s v="Alice Brown"/>
    <x v="4"/>
    <s v="UK"/>
    <x v="3"/>
    <n v="36515"/>
    <d v="2015-06-14T00:00:00"/>
    <n v="3"/>
    <x v="2"/>
    <s v="user22@example.com"/>
  </r>
  <r>
    <x v="23"/>
    <s v="Sam Wilson"/>
    <x v="1"/>
    <s v="UK"/>
    <x v="3"/>
    <n v="91005"/>
    <d v="2015-06-21T00:00:00"/>
    <n v="1"/>
    <x v="0"/>
    <s v="user145@example.com"/>
  </r>
  <r>
    <x v="24"/>
    <s v="Chris Lee"/>
    <x v="1"/>
    <s v=" "/>
    <x v="5"/>
    <n v="52272"/>
    <d v="2015-06-28T00:00:00"/>
    <n v="3"/>
    <x v="0"/>
    <s v="user149@example.com"/>
  </r>
  <r>
    <x v="25"/>
    <s v="Eve Adams"/>
    <x v="2"/>
    <s v="Germany"/>
    <x v="0"/>
    <n v="76518"/>
    <d v="2015-07-05T00:00:00"/>
    <n v="2"/>
    <x v="1"/>
    <s v="user96@example.com"/>
  </r>
  <r>
    <x v="26"/>
    <s v="Alice Brown"/>
    <x v="3"/>
    <s v="UK"/>
    <x v="3"/>
    <n v="41448"/>
    <d v="2015-07-12T00:00:00"/>
    <n v="3"/>
    <x v="0"/>
    <s v="user149@example.com"/>
  </r>
  <r>
    <x v="27"/>
    <s v="John Doe"/>
    <x v="0"/>
    <s v="UK"/>
    <x v="3"/>
    <n v="49282"/>
    <d v="2015-07-19T00:00:00"/>
    <n v="2"/>
    <x v="1"/>
    <s v="user89@example.com"/>
  </r>
  <r>
    <x v="28"/>
    <s v="Bob Johnson"/>
    <x v="4"/>
    <s v="UK"/>
    <x v="3"/>
    <n v="92959"/>
    <d v="2015-07-26T00:00:00"/>
    <n v="5"/>
    <x v="2"/>
    <s v="user46@example.com"/>
  </r>
  <r>
    <x v="29"/>
    <s v="Unknown"/>
    <x v="4"/>
    <s v="India"/>
    <x v="2"/>
    <n v="92259"/>
    <d v="2015-04-19T00:00:00"/>
    <n v="1"/>
    <x v="3"/>
    <s v="user83@example.com"/>
  </r>
  <r>
    <x v="30"/>
    <s v="Eve Adams"/>
    <x v="0"/>
    <s v="Germany"/>
    <x v="0"/>
    <n v="92299"/>
    <d v="2015-08-09T00:00:00"/>
    <n v="3"/>
    <x v="2"/>
    <s v="user176@example.com"/>
  </r>
  <r>
    <x v="31"/>
    <s v="Sam Wilson"/>
    <x v="0"/>
    <s v="India"/>
    <x v="2"/>
    <n v="95586"/>
    <d v="2015-08-16T00:00:00"/>
    <n v="3"/>
    <x v="0"/>
    <s v="user20@example.com"/>
  </r>
  <r>
    <x v="32"/>
    <s v="Chris Lee"/>
    <x v="3"/>
    <s v="USA"/>
    <x v="1"/>
    <n v="95367"/>
    <d v="2015-08-23T00:00:00"/>
    <n v="2.879032258064516"/>
    <x v="2"/>
    <s v="user102@example.com"/>
  </r>
  <r>
    <x v="33"/>
    <s v="John Doe"/>
    <x v="2"/>
    <s v="Australia"/>
    <x v="4"/>
    <n v="79549"/>
    <d v="2015-08-30T00:00:00"/>
    <n v="3"/>
    <x v="2"/>
    <s v="user191@example.com"/>
  </r>
  <r>
    <x v="34"/>
    <s v="Alice Brown"/>
    <x v="2"/>
    <s v="UK"/>
    <x v="3"/>
    <n v="54463"/>
    <d v="2015-09-06T00:00:00"/>
    <n v="4"/>
    <x v="2"/>
    <s v="user54@example.com"/>
  </r>
  <r>
    <x v="35"/>
    <s v="Alice Brown"/>
    <x v="3"/>
    <s v="USA"/>
    <x v="1"/>
    <n v="89781"/>
    <d v="2015-09-13T00:00:00"/>
    <n v="2.879032258064516"/>
    <x v="1"/>
    <s v="user89@example.com"/>
  </r>
  <r>
    <x v="36"/>
    <s v="Alice Brown"/>
    <x v="0"/>
    <s v="India"/>
    <x v="2"/>
    <n v="64796"/>
    <d v="2015-09-20T00:00:00"/>
    <n v="2.879032258064516"/>
    <x v="0"/>
    <s v="user112@example.com"/>
  </r>
  <r>
    <x v="37"/>
    <s v="John Doe"/>
    <x v="4"/>
    <s v="UK"/>
    <x v="3"/>
    <n v="52093"/>
    <d v="2015-09-27T00:00:00"/>
    <n v="5"/>
    <x v="2"/>
    <s v="user55@example.com"/>
  </r>
  <r>
    <x v="38"/>
    <s v="Chris Lee"/>
    <x v="0"/>
    <s v="UK"/>
    <x v="3"/>
    <n v="48224"/>
    <d v="2015-10-04T00:00:00"/>
    <n v="3"/>
    <x v="1"/>
    <s v="user47@example.com"/>
  </r>
  <r>
    <x v="39"/>
    <s v="Bob Johnson"/>
    <x v="1"/>
    <s v="UK"/>
    <x v="3"/>
    <n v="65604.55"/>
    <d v="2015-04-19T00:00:00"/>
    <n v="4"/>
    <x v="1"/>
    <s v="user106@example.com"/>
  </r>
  <r>
    <x v="40"/>
    <s v="Alice Brown"/>
    <x v="3"/>
    <s v="Germany"/>
    <x v="0"/>
    <n v="33956"/>
    <d v="2015-10-18T00:00:00"/>
    <n v="2.879032258064516"/>
    <x v="1"/>
    <s v="user31@example.com"/>
  </r>
  <r>
    <x v="41"/>
    <s v="Bob Johnson"/>
    <x v="2"/>
    <s v="Australia"/>
    <x v="4"/>
    <n v="64913"/>
    <d v="2015-10-25T00:00:00"/>
    <n v="1"/>
    <x v="1"/>
    <s v="user128@example.com"/>
  </r>
  <r>
    <x v="42"/>
    <s v="Alice Brown"/>
    <x v="4"/>
    <s v="Australia"/>
    <x v="4"/>
    <n v="35326"/>
    <d v="2015-11-01T00:00:00"/>
    <n v="2.879032258064516"/>
    <x v="1"/>
    <s v="user76@example.com"/>
  </r>
  <r>
    <x v="43"/>
    <s v="Chris Lee"/>
    <x v="1"/>
    <s v="UK"/>
    <x v="3"/>
    <n v="81610"/>
    <d v="2015-11-08T00:00:00"/>
    <n v="1"/>
    <x v="0"/>
    <s v="user47@example.com"/>
  </r>
  <r>
    <x v="44"/>
    <s v="Unknown"/>
    <x v="0"/>
    <s v="India"/>
    <x v="2"/>
    <n v="58962"/>
    <d v="2015-11-15T00:00:00"/>
    <n v="3"/>
    <x v="0"/>
    <s v="user31@example.com"/>
  </r>
  <r>
    <x v="45"/>
    <s v="Chris Lee"/>
    <x v="3"/>
    <s v="Germany"/>
    <x v="0"/>
    <n v="92701"/>
    <d v="2015-11-22T00:00:00"/>
    <n v="3"/>
    <x v="0"/>
    <s v="user98@example.com"/>
  </r>
  <r>
    <x v="46"/>
    <s v="Chris Lee"/>
    <x v="0"/>
    <s v="India"/>
    <x v="2"/>
    <n v="58245"/>
    <d v="2015-11-29T00:00:00"/>
    <n v="4"/>
    <x v="1"/>
    <s v="user192@example.com"/>
  </r>
  <r>
    <x v="47"/>
    <s v="John Doe"/>
    <x v="1"/>
    <s v="UK"/>
    <x v="3"/>
    <n v="66513"/>
    <d v="2015-12-06T00:00:00"/>
    <n v="2"/>
    <x v="0"/>
    <s v="user197@example.com"/>
  </r>
  <r>
    <x v="48"/>
    <s v="Eve Adams"/>
    <x v="0"/>
    <s v="Germany"/>
    <x v="0"/>
    <n v="78720"/>
    <d v="2015-12-13T00:00:00"/>
    <n v="5"/>
    <x v="1"/>
    <s v="user168@example.com"/>
  </r>
  <r>
    <x v="49"/>
    <s v="Chris Lee"/>
    <x v="1"/>
    <s v=" "/>
    <x v="5"/>
    <n v="30686"/>
    <d v="2015-04-19T00:00:00"/>
    <n v="2"/>
    <x v="1"/>
    <s v="user48@example.com"/>
  </r>
  <r>
    <x v="50"/>
    <s v="Sam Wilson"/>
    <x v="2"/>
    <s v="India"/>
    <x v="2"/>
    <n v="39423"/>
    <d v="2015-12-27T00:00:00"/>
    <n v="5"/>
    <x v="1"/>
    <s v="user137@example.com"/>
  </r>
  <r>
    <x v="51"/>
    <s v="Eve Adams"/>
    <x v="4"/>
    <s v="India"/>
    <x v="2"/>
    <n v="30280"/>
    <d v="2016-01-03T00:00:00"/>
    <n v="1"/>
    <x v="3"/>
    <s v="user109@example.com"/>
  </r>
  <r>
    <x v="52"/>
    <s v="Eve Adams"/>
    <x v="1"/>
    <s v="UK"/>
    <x v="3"/>
    <n v="33352"/>
    <d v="2016-01-10T00:00:00"/>
    <n v="3"/>
    <x v="1"/>
    <s v="user199@example.com"/>
  </r>
  <r>
    <x v="53"/>
    <s v="Bob Johnson"/>
    <x v="4"/>
    <s v="UK"/>
    <x v="3"/>
    <n v="75633"/>
    <d v="2016-01-17T00:00:00"/>
    <n v="5"/>
    <x v="0"/>
    <s v="user135@example.com"/>
  </r>
  <r>
    <x v="54"/>
    <s v="Chris Lee"/>
    <x v="3"/>
    <s v="USA"/>
    <x v="1"/>
    <n v="74815"/>
    <d v="2016-01-24T00:00:00"/>
    <n v="5"/>
    <x v="1"/>
    <s v="user148@example.com"/>
  </r>
  <r>
    <x v="55"/>
    <s v="John Doe"/>
    <x v="2"/>
    <s v="Australia"/>
    <x v="4"/>
    <n v="60011"/>
    <d v="2016-01-31T00:00:00"/>
    <n v="1"/>
    <x v="2"/>
    <s v="user113@example.com"/>
  </r>
  <r>
    <x v="56"/>
    <s v="Eve Adams"/>
    <x v="3"/>
    <s v="India"/>
    <x v="2"/>
    <n v="96949"/>
    <d v="2016-02-07T00:00:00"/>
    <n v="3"/>
    <x v="1"/>
    <s v="user50@example.com"/>
  </r>
  <r>
    <x v="57"/>
    <s v="Sam Wilson"/>
    <x v="4"/>
    <s v="India"/>
    <x v="2"/>
    <n v="84924"/>
    <d v="2016-02-14T00:00:00"/>
    <n v="5"/>
    <x v="2"/>
    <s v="user143@example.com"/>
  </r>
  <r>
    <x v="58"/>
    <s v="Sam Wilson"/>
    <x v="1"/>
    <s v="USA"/>
    <x v="1"/>
    <n v="82033"/>
    <d v="2016-02-21T00:00:00"/>
    <n v="1"/>
    <x v="2"/>
    <s v="user75@example.com"/>
  </r>
  <r>
    <x v="59"/>
    <s v="Unknown"/>
    <x v="4"/>
    <s v="Germany"/>
    <x v="0"/>
    <n v="63686.692300000002"/>
    <d v="2015-04-19T00:00:00"/>
    <n v="5"/>
    <x v="3"/>
    <s v="user83@example.com"/>
  </r>
  <r>
    <x v="60"/>
    <s v="Eve Adams"/>
    <x v="2"/>
    <s v="Australia"/>
    <x v="4"/>
    <n v="31499"/>
    <d v="2016-03-06T00:00:00"/>
    <n v="2"/>
    <x v="1"/>
    <s v="user93@example.com"/>
  </r>
  <r>
    <x v="61"/>
    <s v="Chris Lee"/>
    <x v="3"/>
    <s v="UK"/>
    <x v="3"/>
    <n v="97981"/>
    <d v="2016-03-13T00:00:00"/>
    <n v="5"/>
    <x v="1"/>
    <s v="user65@example.com"/>
  </r>
  <r>
    <x v="62"/>
    <s v="Eve Adams"/>
    <x v="0"/>
    <s v="USA"/>
    <x v="1"/>
    <n v="36541"/>
    <d v="2016-03-20T00:00:00"/>
    <n v="2"/>
    <x v="0"/>
    <s v="Unknown"/>
  </r>
  <r>
    <x v="63"/>
    <s v="John Doe"/>
    <x v="3"/>
    <s v="India"/>
    <x v="2"/>
    <n v="84737"/>
    <d v="2016-03-27T00:00:00"/>
    <n v="1"/>
    <x v="2"/>
    <s v="user128@example.com"/>
  </r>
  <r>
    <x v="64"/>
    <s v="Sam Wilson"/>
    <x v="1"/>
    <s v="India"/>
    <x v="2"/>
    <n v="33468"/>
    <d v="2016-04-03T00:00:00"/>
    <n v="4"/>
    <x v="2"/>
    <s v="user71@example.com"/>
  </r>
  <r>
    <x v="65"/>
    <s v="Sam Wilson"/>
    <x v="2"/>
    <s v="Australia"/>
    <x v="4"/>
    <n v="96365"/>
    <d v="2016-04-10T00:00:00"/>
    <n v="3"/>
    <x v="0"/>
    <s v="user174@example.com"/>
  </r>
  <r>
    <x v="66"/>
    <s v="Alice Brown"/>
    <x v="2"/>
    <s v="India"/>
    <x v="2"/>
    <n v="61942"/>
    <d v="2016-04-17T00:00:00"/>
    <n v="3"/>
    <x v="1"/>
    <s v="user23@example.com"/>
  </r>
  <r>
    <x v="67"/>
    <s v="Sam Wilson"/>
    <x v="1"/>
    <s v="UK"/>
    <x v="3"/>
    <n v="41467"/>
    <d v="2016-04-24T00:00:00"/>
    <n v="2"/>
    <x v="1"/>
    <s v="user43@example.com"/>
  </r>
  <r>
    <x v="68"/>
    <s v="Bob Johnson"/>
    <x v="1"/>
    <s v="India"/>
    <x v="2"/>
    <n v="77096"/>
    <d v="2016-05-01T00:00:00"/>
    <n v="1"/>
    <x v="2"/>
    <s v="user143@example.com"/>
  </r>
  <r>
    <x v="69"/>
    <s v="Eve Adams"/>
    <x v="2"/>
    <s v="Australia"/>
    <x v="4"/>
    <n v="69952"/>
    <d v="2016-05-08T00:00:00"/>
    <n v="5"/>
    <x v="1"/>
    <s v="user62@example.com"/>
  </r>
  <r>
    <x v="70"/>
    <s v="Eve Adams"/>
    <x v="4"/>
    <s v="USA"/>
    <x v="1"/>
    <n v="85065"/>
    <d v="2016-05-15T00:00:00"/>
    <n v="3"/>
    <x v="0"/>
    <s v="user175@example.com"/>
  </r>
  <r>
    <x v="71"/>
    <s v="Bob Johnson"/>
    <x v="4"/>
    <s v="India"/>
    <x v="2"/>
    <n v="56512"/>
    <d v="2016-05-22T00:00:00"/>
    <n v="2.879032258064516"/>
    <x v="0"/>
    <s v="user44@example.com"/>
  </r>
  <r>
    <x v="72"/>
    <s v="John Doe"/>
    <x v="2"/>
    <s v="India"/>
    <x v="2"/>
    <n v="91101"/>
    <d v="2016-05-29T00:00:00"/>
    <n v="4"/>
    <x v="1"/>
    <s v="user200@example.com"/>
  </r>
  <r>
    <x v="73"/>
    <s v="Sam Wilson"/>
    <x v="0"/>
    <s v="Germany"/>
    <x v="0"/>
    <n v="41243"/>
    <d v="2016-06-05T00:00:00"/>
    <n v="2.879032258064516"/>
    <x v="0"/>
    <s v="user141@example.com"/>
  </r>
  <r>
    <x v="74"/>
    <s v="Unknown"/>
    <x v="2"/>
    <s v=" "/>
    <x v="5"/>
    <n v="96142"/>
    <d v="2016-06-12T00:00:00"/>
    <n v="1"/>
    <x v="0"/>
    <s v="user3@example.com"/>
  </r>
  <r>
    <x v="75"/>
    <s v="Eve Adams"/>
    <x v="3"/>
    <s v="India"/>
    <x v="2"/>
    <n v="94301"/>
    <d v="2016-06-19T00:00:00"/>
    <n v="1"/>
    <x v="2"/>
    <s v="user149@example.com"/>
  </r>
  <r>
    <x v="76"/>
    <s v="Jane Smith"/>
    <x v="2"/>
    <s v="UK"/>
    <x v="3"/>
    <n v="69166"/>
    <d v="2016-06-26T00:00:00"/>
    <n v="1"/>
    <x v="1"/>
    <s v="user20@example.com"/>
  </r>
  <r>
    <x v="77"/>
    <s v="Sam Wilson"/>
    <x v="2"/>
    <s v="UK"/>
    <x v="3"/>
    <n v="78245"/>
    <d v="2016-07-03T00:00:00"/>
    <n v="2"/>
    <x v="1"/>
    <s v="user40@example.com"/>
  </r>
  <r>
    <x v="78"/>
    <s v="Chris Lee"/>
    <x v="2"/>
    <s v="USA"/>
    <x v="1"/>
    <n v="66079"/>
    <d v="2016-07-10T00:00:00"/>
    <n v="2"/>
    <x v="0"/>
    <s v="user106@example.com"/>
  </r>
  <r>
    <x v="79"/>
    <s v="Eve Adams"/>
    <x v="4"/>
    <s v="India"/>
    <x v="2"/>
    <n v="63686.692300000002"/>
    <d v="2015-04-19T00:00:00"/>
    <n v="2.879032258064516"/>
    <x v="0"/>
    <s v="user63@example.com"/>
  </r>
  <r>
    <x v="80"/>
    <s v="Jane Smith"/>
    <x v="2"/>
    <s v="USA"/>
    <x v="1"/>
    <n v="95621"/>
    <d v="2016-07-24T00:00:00"/>
    <n v="3"/>
    <x v="1"/>
    <s v="user180@example.com"/>
  </r>
  <r>
    <x v="81"/>
    <s v="Eve Adams"/>
    <x v="3"/>
    <s v="UK"/>
    <x v="3"/>
    <n v="42262"/>
    <d v="2016-07-31T00:00:00"/>
    <n v="1"/>
    <x v="1"/>
    <s v="user43@example.com"/>
  </r>
  <r>
    <x v="82"/>
    <s v="Sam Wilson"/>
    <x v="2"/>
    <s v="India"/>
    <x v="2"/>
    <n v="99621"/>
    <d v="2016-08-07T00:00:00"/>
    <n v="2.879032258064516"/>
    <x v="0"/>
    <s v="user101@example.com"/>
  </r>
  <r>
    <x v="83"/>
    <s v="John Doe"/>
    <x v="4"/>
    <s v="India"/>
    <x v="2"/>
    <n v="44682"/>
    <d v="2016-08-14T00:00:00"/>
    <n v="4"/>
    <x v="1"/>
    <s v="user198@example.com"/>
  </r>
  <r>
    <x v="84"/>
    <s v="Chris Lee"/>
    <x v="1"/>
    <s v="UK"/>
    <x v="3"/>
    <n v="35163"/>
    <d v="2016-08-21T00:00:00"/>
    <n v="5"/>
    <x v="0"/>
    <s v="user177@example.com"/>
  </r>
  <r>
    <x v="85"/>
    <s v="Chris Lee"/>
    <x v="3"/>
    <s v="India"/>
    <x v="2"/>
    <n v="33483"/>
    <d v="2016-08-28T00:00:00"/>
    <n v="4"/>
    <x v="2"/>
    <s v="user122@example.com"/>
  </r>
  <r>
    <x v="86"/>
    <s v="Sam Wilson"/>
    <x v="0"/>
    <s v="Germany"/>
    <x v="0"/>
    <n v="55303"/>
    <d v="2016-09-04T00:00:00"/>
    <n v="4"/>
    <x v="2"/>
    <s v="user49@example.com"/>
  </r>
  <r>
    <x v="87"/>
    <s v="Chris Lee"/>
    <x v="3"/>
    <s v=" "/>
    <x v="5"/>
    <n v="63434"/>
    <d v="2016-09-11T00:00:00"/>
    <n v="3"/>
    <x v="0"/>
    <s v="user22@example.com"/>
  </r>
  <r>
    <x v="88"/>
    <s v="Jane Smith"/>
    <x v="2"/>
    <s v="Australia"/>
    <x v="4"/>
    <n v="38830"/>
    <d v="2016-09-18T00:00:00"/>
    <n v="3"/>
    <x v="0"/>
    <s v="user44@example.com"/>
  </r>
  <r>
    <x v="89"/>
    <s v="Unknown"/>
    <x v="4"/>
    <s v="UK"/>
    <x v="3"/>
    <n v="50741"/>
    <d v="2016-09-25T00:00:00"/>
    <n v="3"/>
    <x v="3"/>
    <s v="user156@example.com"/>
  </r>
  <r>
    <x v="90"/>
    <s v="Alice Brown"/>
    <x v="0"/>
    <s v="Australia"/>
    <x v="4"/>
    <n v="69420"/>
    <d v="2016-10-02T00:00:00"/>
    <n v="1"/>
    <x v="2"/>
    <s v="user53@example.com"/>
  </r>
  <r>
    <x v="91"/>
    <s v="Jane Smith"/>
    <x v="3"/>
    <s v=" "/>
    <x v="5"/>
    <n v="80588"/>
    <d v="2016-10-09T00:00:00"/>
    <n v="5"/>
    <x v="2"/>
    <s v="Unknown"/>
  </r>
  <r>
    <x v="92"/>
    <s v="Alice Brown"/>
    <x v="3"/>
    <s v="USA"/>
    <x v="1"/>
    <n v="76238"/>
    <d v="2016-10-16T00:00:00"/>
    <n v="4"/>
    <x v="2"/>
    <s v="user155@example.com"/>
  </r>
  <r>
    <x v="93"/>
    <s v="Bob Johnson"/>
    <x v="3"/>
    <s v="India"/>
    <x v="2"/>
    <n v="33264"/>
    <d v="2016-10-23T00:00:00"/>
    <n v="2.879032258064516"/>
    <x v="1"/>
    <s v="user41@example.com"/>
  </r>
  <r>
    <x v="94"/>
    <s v="Alice Brown"/>
    <x v="1"/>
    <s v="Australia"/>
    <x v="4"/>
    <n v="96101"/>
    <d v="2016-10-30T00:00:00"/>
    <n v="2.879032258064516"/>
    <x v="0"/>
    <s v="user77@example.com"/>
  </r>
  <r>
    <x v="95"/>
    <s v="Jane Smith"/>
    <x v="1"/>
    <s v="USA"/>
    <x v="1"/>
    <n v="72939"/>
    <d v="2016-11-06T00:00:00"/>
    <n v="3"/>
    <x v="2"/>
    <s v="user52@example.com"/>
  </r>
  <r>
    <x v="96"/>
    <s v="Sam Wilson"/>
    <x v="0"/>
    <s v="Germany"/>
    <x v="0"/>
    <n v="89333"/>
    <d v="2016-11-13T00:00:00"/>
    <n v="1"/>
    <x v="2"/>
    <s v="user24@example.com"/>
  </r>
  <r>
    <x v="97"/>
    <s v="Bob Johnson"/>
    <x v="3"/>
    <s v="Australia"/>
    <x v="4"/>
    <n v="70470"/>
    <d v="2016-11-20T00:00:00"/>
    <n v="2.879032258064516"/>
    <x v="2"/>
    <s v="user188@example.com"/>
  </r>
  <r>
    <x v="98"/>
    <s v="Eve Adams"/>
    <x v="4"/>
    <s v="USA"/>
    <x v="1"/>
    <n v="70096"/>
    <d v="2016-11-27T00:00:00"/>
    <n v="4"/>
    <x v="2"/>
    <s v="user25@example.com"/>
  </r>
  <r>
    <x v="99"/>
    <s v="Bob Johnson"/>
    <x v="4"/>
    <s v=" "/>
    <x v="5"/>
    <n v="63686.692300000002"/>
    <d v="2016-12-04T00:00:00"/>
    <n v="2"/>
    <x v="0"/>
    <s v="user165@example.com"/>
  </r>
  <r>
    <x v="100"/>
    <s v="Bob Johnson"/>
    <x v="3"/>
    <s v="Germany"/>
    <x v="0"/>
    <n v="66503"/>
    <d v="2016-12-11T00:00:00"/>
    <n v="2.879032258064516"/>
    <x v="2"/>
    <s v="user154@example.com"/>
  </r>
  <r>
    <x v="101"/>
    <s v="Alice Brown"/>
    <x v="0"/>
    <s v="Germany"/>
    <x v="0"/>
    <n v="42096"/>
    <d v="2016-12-18T00:00:00"/>
    <n v="2.879032258064516"/>
    <x v="1"/>
    <s v="user168@example.com"/>
  </r>
  <r>
    <x v="102"/>
    <s v="Alice Brown"/>
    <x v="4"/>
    <s v="India"/>
    <x v="2"/>
    <n v="79145"/>
    <d v="2016-12-25T00:00:00"/>
    <n v="5"/>
    <x v="0"/>
    <s v="user190@example.com"/>
  </r>
  <r>
    <x v="103"/>
    <s v="Jane Smith"/>
    <x v="2"/>
    <s v="Australia"/>
    <x v="4"/>
    <n v="61556"/>
    <d v="2017-01-01T00:00:00"/>
    <n v="1"/>
    <x v="0"/>
    <s v="user192@example.com"/>
  </r>
  <r>
    <x v="104"/>
    <s v="Unknown"/>
    <x v="0"/>
    <s v="UK"/>
    <x v="3"/>
    <n v="87963"/>
    <d v="2017-01-08T00:00:00"/>
    <n v="3"/>
    <x v="0"/>
    <s v="user175@example.com"/>
  </r>
  <r>
    <x v="105"/>
    <s v="Eve Adams"/>
    <x v="3"/>
    <s v=" "/>
    <x v="5"/>
    <n v="48325"/>
    <d v="2017-01-15T00:00:00"/>
    <n v="2.879032258064516"/>
    <x v="2"/>
    <s v="user103@example.com"/>
  </r>
  <r>
    <x v="106"/>
    <s v="Sam Wilson"/>
    <x v="4"/>
    <s v="Australia"/>
    <x v="4"/>
    <n v="86412"/>
    <d v="2017-01-22T00:00:00"/>
    <n v="2"/>
    <x v="1"/>
    <s v="user82@example.com"/>
  </r>
  <r>
    <x v="107"/>
    <s v="Sam Wilson"/>
    <x v="0"/>
    <s v="India"/>
    <x v="2"/>
    <n v="66761"/>
    <d v="2017-01-29T00:00:00"/>
    <n v="1"/>
    <x v="0"/>
    <s v="user71@example.com"/>
  </r>
  <r>
    <x v="108"/>
    <s v="Jane Smith"/>
    <x v="3"/>
    <s v="India"/>
    <x v="2"/>
    <n v="88850"/>
    <d v="2017-02-05T00:00:00"/>
    <n v="1"/>
    <x v="1"/>
    <s v="user63@example.com"/>
  </r>
  <r>
    <x v="109"/>
    <s v="Chris Lee"/>
    <x v="2"/>
    <s v="India"/>
    <x v="2"/>
    <n v="31293"/>
    <d v="2015-04-19T00:00:00"/>
    <n v="2"/>
    <x v="1"/>
    <s v="user132@example.com"/>
  </r>
  <r>
    <x v="110"/>
    <s v="Chris Lee"/>
    <x v="3"/>
    <s v="USA"/>
    <x v="1"/>
    <n v="34306"/>
    <d v="2017-02-19T00:00:00"/>
    <n v="5"/>
    <x v="1"/>
    <s v="user95@example.com"/>
  </r>
  <r>
    <x v="111"/>
    <s v="Eve Adams"/>
    <x v="1"/>
    <s v="India"/>
    <x v="2"/>
    <n v="78330"/>
    <d v="2017-02-26T00:00:00"/>
    <n v="2.879032258064516"/>
    <x v="0"/>
    <s v="user17@example.com"/>
  </r>
  <r>
    <x v="112"/>
    <s v="Alice Brown"/>
    <x v="3"/>
    <s v="USA"/>
    <x v="1"/>
    <n v="47653"/>
    <d v="2017-03-05T00:00:00"/>
    <n v="1"/>
    <x v="2"/>
    <s v="user59@example.com"/>
  </r>
  <r>
    <x v="113"/>
    <s v="Eve Adams"/>
    <x v="4"/>
    <s v="UK"/>
    <x v="3"/>
    <n v="44627"/>
    <d v="2017-03-12T00:00:00"/>
    <n v="4"/>
    <x v="3"/>
    <s v="user104@example.com"/>
  </r>
  <r>
    <x v="114"/>
    <s v="Bob Johnson"/>
    <x v="0"/>
    <s v="Germany"/>
    <x v="0"/>
    <n v="92343"/>
    <d v="2017-03-19T00:00:00"/>
    <n v="4"/>
    <x v="1"/>
    <s v="user26@example.com"/>
  </r>
  <r>
    <x v="115"/>
    <s v="Bob Johnson"/>
    <x v="4"/>
    <s v="Australia"/>
    <x v="4"/>
    <n v="38837"/>
    <d v="2017-03-26T00:00:00"/>
    <n v="5"/>
    <x v="1"/>
    <s v="user97@example.com"/>
  </r>
  <r>
    <x v="116"/>
    <s v="Bob Johnson"/>
    <x v="4"/>
    <s v="India"/>
    <x v="2"/>
    <n v="73483"/>
    <d v="2017-04-02T00:00:00"/>
    <n v="1"/>
    <x v="0"/>
    <s v="user136@example.com"/>
  </r>
  <r>
    <x v="117"/>
    <s v="Chris Lee"/>
    <x v="2"/>
    <s v="India"/>
    <x v="2"/>
    <n v="95032"/>
    <d v="2017-04-09T00:00:00"/>
    <n v="3"/>
    <x v="1"/>
    <s v="user171@example.com"/>
  </r>
  <r>
    <x v="118"/>
    <s v="Eve Adams"/>
    <x v="2"/>
    <s v="Australia"/>
    <x v="4"/>
    <n v="44358"/>
    <d v="2017-04-16T00:00:00"/>
    <n v="2.879032258064516"/>
    <x v="1"/>
    <s v="user76@example.com"/>
  </r>
  <r>
    <x v="119"/>
    <s v="Unknown"/>
    <x v="3"/>
    <s v="USA"/>
    <x v="1"/>
    <n v="66157.5"/>
    <d v="2015-04-19T00:00:00"/>
    <n v="5"/>
    <x v="3"/>
    <s v="user152@example.com"/>
  </r>
  <r>
    <x v="120"/>
    <s v="Chris Lee"/>
    <x v="2"/>
    <s v="USA"/>
    <x v="1"/>
    <n v="45676"/>
    <d v="2017-04-30T00:00:00"/>
    <n v="2"/>
    <x v="1"/>
    <s v="user184@example.com"/>
  </r>
  <r>
    <x v="121"/>
    <s v="Bob Johnson"/>
    <x v="2"/>
    <s v="Germany"/>
    <x v="0"/>
    <n v="52036"/>
    <d v="2017-05-07T00:00:00"/>
    <n v="3"/>
    <x v="2"/>
    <s v="user151@example.com"/>
  </r>
  <r>
    <x v="122"/>
    <s v="Jane Smith"/>
    <x v="0"/>
    <s v="Germany"/>
    <x v="0"/>
    <n v="30357"/>
    <d v="2017-05-14T00:00:00"/>
    <n v="5"/>
    <x v="2"/>
    <s v="user125@example.com"/>
  </r>
  <r>
    <x v="123"/>
    <s v="John Doe"/>
    <x v="3"/>
    <s v=" "/>
    <x v="5"/>
    <n v="60034"/>
    <d v="2017-05-21T00:00:00"/>
    <n v="1"/>
    <x v="1"/>
    <s v="user190@example.com"/>
  </r>
  <r>
    <x v="124"/>
    <s v="John Doe"/>
    <x v="1"/>
    <s v=" "/>
    <x v="5"/>
    <n v="90019"/>
    <d v="2017-05-28T00:00:00"/>
    <n v="5"/>
    <x v="0"/>
    <s v="user163@example.com"/>
  </r>
  <r>
    <x v="125"/>
    <s v="Bob Johnson"/>
    <x v="0"/>
    <s v="Germany"/>
    <x v="0"/>
    <n v="71494"/>
    <d v="2017-06-04T00:00:00"/>
    <n v="3"/>
    <x v="2"/>
    <s v="user90@example.com"/>
  </r>
  <r>
    <x v="126"/>
    <s v="John Doe"/>
    <x v="1"/>
    <s v="USA"/>
    <x v="1"/>
    <n v="91953"/>
    <d v="2017-06-11T00:00:00"/>
    <n v="2"/>
    <x v="2"/>
    <s v="user100@example.com"/>
  </r>
  <r>
    <x v="127"/>
    <s v="Chris Lee"/>
    <x v="2"/>
    <s v="USA"/>
    <x v="1"/>
    <n v="30402"/>
    <d v="2017-06-18T00:00:00"/>
    <n v="1"/>
    <x v="1"/>
    <s v="user3@example.com"/>
  </r>
  <r>
    <x v="128"/>
    <s v="Bob Johnson"/>
    <x v="2"/>
    <s v="UK"/>
    <x v="3"/>
    <n v="62994"/>
    <d v="2017-06-25T00:00:00"/>
    <n v="2.879032258064516"/>
    <x v="1"/>
    <s v="Unknown"/>
  </r>
  <r>
    <x v="129"/>
    <s v="Alice Brown"/>
    <x v="2"/>
    <s v="India"/>
    <x v="2"/>
    <n v="48289"/>
    <d v="2015-04-19T00:00:00"/>
    <n v="3"/>
    <x v="2"/>
    <s v="user145@example.com"/>
  </r>
  <r>
    <x v="130"/>
    <s v="Sam Wilson"/>
    <x v="4"/>
    <s v="Germany"/>
    <x v="0"/>
    <n v="34402"/>
    <d v="2017-07-09T00:00:00"/>
    <n v="3"/>
    <x v="0"/>
    <s v="user167@example.com"/>
  </r>
  <r>
    <x v="131"/>
    <s v="Eve Adams"/>
    <x v="0"/>
    <s v="USA"/>
    <x v="1"/>
    <n v="38678"/>
    <d v="2017-07-16T00:00:00"/>
    <n v="3"/>
    <x v="0"/>
    <s v="user142@example.com"/>
  </r>
  <r>
    <x v="132"/>
    <s v="Chris Lee"/>
    <x v="0"/>
    <s v="Germany"/>
    <x v="0"/>
    <n v="45758"/>
    <d v="2017-07-23T00:00:00"/>
    <n v="3"/>
    <x v="1"/>
    <s v="user25@example.com"/>
  </r>
  <r>
    <x v="133"/>
    <s v="Eve Adams"/>
    <x v="4"/>
    <s v="India"/>
    <x v="2"/>
    <n v="62476"/>
    <d v="2017-07-30T00:00:00"/>
    <n v="1"/>
    <x v="0"/>
    <s v="user59@example.com"/>
  </r>
  <r>
    <x v="134"/>
    <s v="Unknown"/>
    <x v="3"/>
    <s v="UK"/>
    <x v="3"/>
    <n v="39280"/>
    <d v="2017-08-06T00:00:00"/>
    <n v="3"/>
    <x v="1"/>
    <s v="user98@example.com"/>
  </r>
  <r>
    <x v="135"/>
    <s v="Jane Smith"/>
    <x v="1"/>
    <s v="India"/>
    <x v="2"/>
    <n v="60335"/>
    <d v="2017-08-13T00:00:00"/>
    <n v="4"/>
    <x v="0"/>
    <s v="user20@example.com"/>
  </r>
  <r>
    <x v="136"/>
    <s v="Chris Lee"/>
    <x v="0"/>
    <s v="Germany"/>
    <x v="0"/>
    <n v="84968"/>
    <d v="2017-08-20T00:00:00"/>
    <n v="2.879032258064516"/>
    <x v="1"/>
    <s v="user153@example.com"/>
  </r>
  <r>
    <x v="137"/>
    <s v="Chris Lee"/>
    <x v="4"/>
    <s v="Australia"/>
    <x v="4"/>
    <n v="84750"/>
    <d v="2017-08-27T00:00:00"/>
    <n v="4"/>
    <x v="1"/>
    <s v="user149@example.com"/>
  </r>
  <r>
    <x v="138"/>
    <s v="Bob Johnson"/>
    <x v="3"/>
    <s v=" "/>
    <x v="5"/>
    <n v="73348"/>
    <d v="2017-09-03T00:00:00"/>
    <n v="2"/>
    <x v="1"/>
    <s v="user114@example.com"/>
  </r>
  <r>
    <x v="139"/>
    <s v="Chris Lee"/>
    <x v="2"/>
    <s v="USA"/>
    <x v="1"/>
    <n v="67929.08"/>
    <d v="2017-09-10T00:00:00"/>
    <n v="4"/>
    <x v="0"/>
    <s v="user64@example.com"/>
  </r>
  <r>
    <x v="140"/>
    <s v="Jane Smith"/>
    <x v="4"/>
    <s v="USA"/>
    <x v="1"/>
    <n v="66882"/>
    <d v="2017-09-17T00:00:00"/>
    <n v="5"/>
    <x v="0"/>
    <s v="user42@example.com"/>
  </r>
  <r>
    <x v="141"/>
    <s v="Alice Brown"/>
    <x v="4"/>
    <s v="India"/>
    <x v="2"/>
    <n v="86775"/>
    <d v="2017-09-24T00:00:00"/>
    <n v="3"/>
    <x v="0"/>
    <s v="user198@example.com"/>
  </r>
  <r>
    <x v="142"/>
    <s v="Chris Lee"/>
    <x v="2"/>
    <s v="UK"/>
    <x v="3"/>
    <n v="91620"/>
    <d v="2017-10-01T00:00:00"/>
    <n v="2.879032258064516"/>
    <x v="0"/>
    <s v="user112@example.com"/>
  </r>
  <r>
    <x v="143"/>
    <s v="Eve Adams"/>
    <x v="2"/>
    <s v="UK"/>
    <x v="3"/>
    <n v="94148"/>
    <d v="2017-10-08T00:00:00"/>
    <n v="2"/>
    <x v="0"/>
    <s v="user30@example.com"/>
  </r>
  <r>
    <x v="144"/>
    <s v="Sam Wilson"/>
    <x v="2"/>
    <s v="Australia"/>
    <x v="4"/>
    <n v="35627"/>
    <d v="2017-10-15T00:00:00"/>
    <n v="5"/>
    <x v="1"/>
    <s v="user40@example.com"/>
  </r>
  <r>
    <x v="145"/>
    <s v="John Doe"/>
    <x v="4"/>
    <s v="USA"/>
    <x v="1"/>
    <n v="57141"/>
    <d v="2017-10-22T00:00:00"/>
    <n v="2"/>
    <x v="0"/>
    <s v="user188@example.com"/>
  </r>
  <r>
    <x v="146"/>
    <s v="Bob Johnson"/>
    <x v="2"/>
    <s v="Australia"/>
    <x v="4"/>
    <n v="65270"/>
    <d v="2017-10-29T00:00:00"/>
    <n v="1"/>
    <x v="1"/>
    <s v="user200@example.com"/>
  </r>
  <r>
    <x v="147"/>
    <s v="Bob Johnson"/>
    <x v="2"/>
    <s v="UK"/>
    <x v="3"/>
    <n v="67335"/>
    <d v="2017-11-05T00:00:00"/>
    <n v="1"/>
    <x v="0"/>
    <s v="user189@example.com"/>
  </r>
  <r>
    <x v="148"/>
    <s v="Sam Wilson"/>
    <x v="4"/>
    <s v="India"/>
    <x v="2"/>
    <n v="98475"/>
    <d v="2017-11-12T00:00:00"/>
    <n v="5"/>
    <x v="0"/>
    <s v="user165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46AB1-5E5A-48AF-B584-8E53417734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3:B20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7">
        <item x="4"/>
        <item x="0"/>
        <item x="2"/>
        <item x="3"/>
        <item x="5"/>
        <item x="1"/>
        <item t="default"/>
      </items>
    </pivotField>
    <pivotField numFmtId="164" showAll="0"/>
    <pivotField numFmtId="14" showAll="0"/>
    <pivotField numFmtId="1" showAll="0"/>
    <pivotField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CFAA0-FA5E-4C6C-A999-ED55514137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ow Labels">
  <location ref="D13:E19" firstHeaderRow="1" firstDataRow="1" firstDataCol="1"/>
  <pivotFields count="10">
    <pivotField dataField="1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D63F5-BD07-4EF4-8964-79459C24579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6:E11" firstHeaderRow="1" firstDataRow="1" firstDataCol="1"/>
  <pivotFields count="10">
    <pivotField dataField="1" showAll="0"/>
    <pivotField showAll="0"/>
    <pivotField showAll="0"/>
    <pivotField showAll="0"/>
    <pivotField showAll="0"/>
    <pivotField numFmtId="164" showAll="0"/>
    <pivotField numFmtId="14"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5E45B-C65C-4774-B713-7BC69D0473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0">
    <pivotField dataFiel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6677C-00DC-4625-A7D1-1A507088D8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0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5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J150"/>
  <sheetViews>
    <sheetView topLeftCell="A126" workbookViewId="0">
      <selection activeCell="F144" sqref="F144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8.88671875" customWidth="1"/>
    <col min="12" max="12" width="18" customWidth="1"/>
    <col min="13" max="13" width="20.109375" customWidth="1"/>
  </cols>
  <sheetData>
    <row r="1" spans="1:10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</row>
    <row r="2" spans="1:10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</row>
    <row r="3" spans="1:10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</row>
    <row r="4" spans="1:10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</row>
    <row r="5" spans="1:10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</row>
    <row r="6" spans="1:10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</row>
    <row r="7" spans="1:10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</row>
    <row r="8" spans="1:10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</row>
    <row r="9" spans="1:10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</row>
    <row r="10" spans="1:10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</row>
    <row r="11" spans="1:10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</row>
    <row r="12" spans="1:10" ht="15.6" customHeight="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</row>
    <row r="13" spans="1:10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</row>
    <row r="14" spans="1:10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</row>
    <row r="15" spans="1:10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</row>
    <row r="16" spans="1:10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68C5-A685-465E-A8C1-EAA61C03F194}">
  <dimension ref="A1:K25"/>
  <sheetViews>
    <sheetView workbookViewId="0">
      <selection activeCell="D3" sqref="D3:D4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5546875" bestFit="1" customWidth="1"/>
    <col min="4" max="4" width="12.5546875" bestFit="1" customWidth="1"/>
    <col min="5" max="5" width="19.5546875" bestFit="1" customWidth="1"/>
    <col min="6" max="152" width="15.5546875" bestFit="1" customWidth="1"/>
    <col min="153" max="153" width="10.77734375" bestFit="1" customWidth="1"/>
  </cols>
  <sheetData>
    <row r="1" spans="1:11" ht="15.6" x14ac:dyDescent="0.3">
      <c r="G1" s="26" t="s">
        <v>292</v>
      </c>
      <c r="H1" s="27"/>
      <c r="I1" s="27"/>
      <c r="J1" s="27"/>
      <c r="K1" s="28"/>
    </row>
    <row r="2" spans="1:11" x14ac:dyDescent="0.3">
      <c r="G2" s="23" t="s">
        <v>293</v>
      </c>
      <c r="H2" s="24"/>
      <c r="I2" s="24"/>
      <c r="J2" s="24"/>
      <c r="K2" s="25"/>
    </row>
    <row r="3" spans="1:11" x14ac:dyDescent="0.3">
      <c r="A3" s="18" t="s">
        <v>289</v>
      </c>
      <c r="B3" t="s">
        <v>290</v>
      </c>
      <c r="D3" t="s">
        <v>291</v>
      </c>
      <c r="G3" s="23" t="s">
        <v>294</v>
      </c>
      <c r="H3" s="24"/>
      <c r="I3" s="24"/>
      <c r="J3" s="24"/>
      <c r="K3" s="25"/>
    </row>
    <row r="4" spans="1:11" x14ac:dyDescent="0.3">
      <c r="A4" s="19" t="s">
        <v>166</v>
      </c>
      <c r="B4" s="3">
        <v>1460653.55</v>
      </c>
      <c r="D4">
        <v>149</v>
      </c>
      <c r="G4" s="23" t="s">
        <v>295</v>
      </c>
      <c r="H4" s="24"/>
      <c r="I4" s="24"/>
      <c r="J4" s="24"/>
      <c r="K4" s="25"/>
    </row>
    <row r="5" spans="1:11" x14ac:dyDescent="0.3">
      <c r="A5" s="19" t="s">
        <v>167</v>
      </c>
      <c r="B5" s="3">
        <v>1861394.5652000001</v>
      </c>
      <c r="G5" s="23" t="s">
        <v>296</v>
      </c>
      <c r="H5" s="24"/>
      <c r="I5" s="24"/>
      <c r="J5" s="24"/>
      <c r="K5" s="25"/>
    </row>
    <row r="6" spans="1:11" x14ac:dyDescent="0.3">
      <c r="A6" s="19" t="s">
        <v>169</v>
      </c>
      <c r="B6" s="3">
        <v>2215845.5</v>
      </c>
      <c r="D6" s="18" t="s">
        <v>289</v>
      </c>
      <c r="E6" t="s">
        <v>291</v>
      </c>
      <c r="G6" s="23" t="s">
        <v>297</v>
      </c>
      <c r="H6" s="24"/>
      <c r="I6" s="24"/>
      <c r="J6" s="24"/>
      <c r="K6" s="25"/>
    </row>
    <row r="7" spans="1:11" x14ac:dyDescent="0.3">
      <c r="A7" s="19" t="s">
        <v>170</v>
      </c>
      <c r="B7" s="3">
        <v>1846914.0769</v>
      </c>
      <c r="D7" s="19" t="s">
        <v>181</v>
      </c>
      <c r="E7">
        <v>53</v>
      </c>
      <c r="G7" s="23" t="s">
        <v>298</v>
      </c>
      <c r="H7" s="24"/>
      <c r="I7" s="24"/>
      <c r="J7" s="24"/>
      <c r="K7" s="25"/>
    </row>
    <row r="8" spans="1:11" x14ac:dyDescent="0.3">
      <c r="A8" s="19" t="s">
        <v>168</v>
      </c>
      <c r="B8" s="3">
        <v>2485670.08</v>
      </c>
      <c r="D8" s="19" t="s">
        <v>180</v>
      </c>
      <c r="E8">
        <v>39</v>
      </c>
      <c r="G8" s="20" t="s">
        <v>299</v>
      </c>
      <c r="H8" s="21"/>
      <c r="I8" s="21"/>
      <c r="J8" s="21"/>
      <c r="K8" s="22"/>
    </row>
    <row r="9" spans="1:11" x14ac:dyDescent="0.3">
      <c r="A9" s="19" t="s">
        <v>288</v>
      </c>
      <c r="B9" s="3">
        <v>9870477.7720999997</v>
      </c>
      <c r="D9" s="19" t="s">
        <v>179</v>
      </c>
      <c r="E9">
        <v>50</v>
      </c>
    </row>
    <row r="10" spans="1:11" ht="15.6" x14ac:dyDescent="0.3">
      <c r="D10" s="19" t="s">
        <v>178</v>
      </c>
      <c r="E10">
        <v>7</v>
      </c>
      <c r="G10" s="26" t="s">
        <v>300</v>
      </c>
      <c r="H10" s="27"/>
      <c r="I10" s="27"/>
      <c r="J10" s="27"/>
      <c r="K10" s="28"/>
    </row>
    <row r="11" spans="1:11" x14ac:dyDescent="0.3">
      <c r="D11" s="19" t="s">
        <v>288</v>
      </c>
      <c r="E11">
        <v>149</v>
      </c>
      <c r="G11" s="23" t="s">
        <v>309</v>
      </c>
      <c r="H11" s="24"/>
      <c r="I11" s="24"/>
      <c r="J11" s="24"/>
      <c r="K11" s="25"/>
    </row>
    <row r="12" spans="1:11" x14ac:dyDescent="0.3">
      <c r="G12" s="23" t="s">
        <v>301</v>
      </c>
      <c r="H12" s="24"/>
      <c r="I12" s="24"/>
      <c r="J12" s="24"/>
      <c r="K12" s="25"/>
    </row>
    <row r="13" spans="1:11" x14ac:dyDescent="0.3">
      <c r="A13" s="18" t="s">
        <v>289</v>
      </c>
      <c r="B13" t="s">
        <v>291</v>
      </c>
      <c r="D13" s="18" t="s">
        <v>289</v>
      </c>
      <c r="E13" t="s">
        <v>291</v>
      </c>
      <c r="G13" s="23" t="s">
        <v>302</v>
      </c>
      <c r="H13" s="24"/>
      <c r="I13" s="24"/>
      <c r="J13" s="24"/>
      <c r="K13" s="25"/>
    </row>
    <row r="14" spans="1:11" x14ac:dyDescent="0.3">
      <c r="A14" s="19" t="s">
        <v>176</v>
      </c>
      <c r="B14">
        <v>19</v>
      </c>
      <c r="D14" s="19" t="s">
        <v>166</v>
      </c>
      <c r="E14">
        <v>23</v>
      </c>
      <c r="G14" s="23" t="s">
        <v>303</v>
      </c>
      <c r="H14" s="24"/>
      <c r="I14" s="24"/>
      <c r="J14" s="24"/>
      <c r="K14" s="25"/>
    </row>
    <row r="15" spans="1:11" x14ac:dyDescent="0.3">
      <c r="A15" s="19" t="s">
        <v>172</v>
      </c>
      <c r="B15">
        <v>23</v>
      </c>
      <c r="D15" s="19" t="s">
        <v>167</v>
      </c>
      <c r="E15">
        <v>28</v>
      </c>
      <c r="G15" s="23"/>
      <c r="H15" s="24"/>
      <c r="I15" s="24"/>
      <c r="J15" s="24"/>
      <c r="K15" s="25"/>
    </row>
    <row r="16" spans="1:11" x14ac:dyDescent="0.3">
      <c r="A16" s="19" t="s">
        <v>174</v>
      </c>
      <c r="B16">
        <v>43</v>
      </c>
      <c r="D16" s="19" t="s">
        <v>169</v>
      </c>
      <c r="E16">
        <v>32</v>
      </c>
      <c r="G16" s="23" t="s">
        <v>310</v>
      </c>
      <c r="H16" s="24"/>
      <c r="I16" s="24"/>
      <c r="J16" s="24"/>
      <c r="K16" s="25"/>
    </row>
    <row r="17" spans="1:11" x14ac:dyDescent="0.3">
      <c r="A17" s="19" t="s">
        <v>175</v>
      </c>
      <c r="B17">
        <v>30</v>
      </c>
      <c r="D17" s="19" t="s">
        <v>170</v>
      </c>
      <c r="E17">
        <v>29</v>
      </c>
      <c r="G17" s="23" t="s">
        <v>304</v>
      </c>
      <c r="H17" s="24"/>
      <c r="I17" s="24"/>
      <c r="J17" s="24"/>
      <c r="K17" s="25"/>
    </row>
    <row r="18" spans="1:11" x14ac:dyDescent="0.3">
      <c r="A18" s="19" t="s">
        <v>178</v>
      </c>
      <c r="B18">
        <v>10</v>
      </c>
      <c r="D18" s="19" t="s">
        <v>168</v>
      </c>
      <c r="E18">
        <v>37</v>
      </c>
      <c r="G18" s="23" t="s">
        <v>305</v>
      </c>
      <c r="H18" s="24"/>
      <c r="I18" s="24"/>
      <c r="J18" s="24"/>
      <c r="K18" s="25"/>
    </row>
    <row r="19" spans="1:11" x14ac:dyDescent="0.3">
      <c r="A19" s="19" t="s">
        <v>173</v>
      </c>
      <c r="B19">
        <v>24</v>
      </c>
      <c r="D19" s="19" t="s">
        <v>288</v>
      </c>
      <c r="E19">
        <v>149</v>
      </c>
      <c r="G19" s="23"/>
      <c r="H19" s="24"/>
      <c r="I19" s="24"/>
      <c r="J19" s="24"/>
      <c r="K19" s="25"/>
    </row>
    <row r="20" spans="1:11" x14ac:dyDescent="0.3">
      <c r="A20" s="19" t="s">
        <v>288</v>
      </c>
      <c r="B20">
        <v>149</v>
      </c>
      <c r="G20" s="23" t="s">
        <v>311</v>
      </c>
      <c r="H20" s="24"/>
      <c r="I20" s="24"/>
      <c r="J20" s="24"/>
      <c r="K20" s="25"/>
    </row>
    <row r="21" spans="1:11" x14ac:dyDescent="0.3">
      <c r="G21" s="23" t="s">
        <v>306</v>
      </c>
      <c r="H21" s="24"/>
      <c r="I21" s="24"/>
      <c r="J21" s="24"/>
      <c r="K21" s="25"/>
    </row>
    <row r="22" spans="1:11" x14ac:dyDescent="0.3">
      <c r="G22" s="23"/>
      <c r="H22" s="24"/>
      <c r="I22" s="24"/>
      <c r="J22" s="24"/>
      <c r="K22" s="25"/>
    </row>
    <row r="23" spans="1:11" x14ac:dyDescent="0.3">
      <c r="G23" s="23" t="s">
        <v>312</v>
      </c>
      <c r="H23" s="24"/>
      <c r="I23" s="24"/>
      <c r="J23" s="24"/>
      <c r="K23" s="25"/>
    </row>
    <row r="24" spans="1:11" x14ac:dyDescent="0.3">
      <c r="G24" s="23" t="s">
        <v>307</v>
      </c>
      <c r="H24" s="24"/>
      <c r="I24" s="24"/>
      <c r="J24" s="24"/>
      <c r="K24" s="25"/>
    </row>
    <row r="25" spans="1:11" x14ac:dyDescent="0.3">
      <c r="G25" s="20" t="s">
        <v>308</v>
      </c>
      <c r="H25" s="21"/>
      <c r="I25" s="21"/>
      <c r="J25" s="21"/>
      <c r="K25" s="22"/>
    </row>
  </sheetData>
  <mergeCells count="24">
    <mergeCell ref="G7:K7"/>
    <mergeCell ref="G8:K8"/>
    <mergeCell ref="G1:K1"/>
    <mergeCell ref="G2:K2"/>
    <mergeCell ref="G3:K3"/>
    <mergeCell ref="G4:K4"/>
    <mergeCell ref="G5:K5"/>
    <mergeCell ref="G6:K6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5:K25"/>
    <mergeCell ref="G20:K20"/>
    <mergeCell ref="G21:K21"/>
    <mergeCell ref="G22:K22"/>
    <mergeCell ref="G23:K23"/>
    <mergeCell ref="G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E10F-9EE3-4CD0-8812-130F8FF80E65}">
  <dimension ref="A1"/>
  <sheetViews>
    <sheetView showGridLines="0" tabSelected="1" workbookViewId="0">
      <selection activeCell="R8" sqref="R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Cleaning</vt:lpstr>
      <vt:lpstr>Cleaned_Table</vt:lpstr>
      <vt:lpstr>Pivot_Table</vt:lpstr>
      <vt:lpstr>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2026-01-31T10:27:11Z</dcterms:modified>
</cp:coreProperties>
</file>