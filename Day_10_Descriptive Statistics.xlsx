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A1C27EDF-1BBB-41D1-BD8A-34A15804A4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7" state="hidden" r:id="rId2"/>
    <sheet name="Cleaned_Table" sheetId="8" r:id="rId3"/>
  </sheets>
  <definedNames>
    <definedName name="ExternalData_1" localSheetId="2" hidden="1">Cleaned_Table!$A$1:$J$150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8" l="1"/>
  <c r="E32" i="8"/>
  <c r="E50" i="8"/>
  <c r="E88" i="8"/>
  <c r="E98" i="8"/>
  <c r="E103" i="8"/>
  <c r="E116" i="8"/>
  <c r="E134" i="8"/>
  <c r="E138" i="8"/>
  <c r="E3" i="8"/>
  <c r="E4" i="8"/>
  <c r="E80" i="8"/>
  <c r="E82" i="8"/>
  <c r="E122" i="8"/>
  <c r="E129" i="8"/>
  <c r="E141" i="8"/>
  <c r="E5" i="8"/>
  <c r="E27" i="8"/>
  <c r="E123" i="8"/>
  <c r="E6" i="8"/>
  <c r="E16" i="8"/>
  <c r="E65" i="8"/>
  <c r="E77" i="8"/>
  <c r="E87" i="8"/>
  <c r="E95" i="8"/>
  <c r="E13" i="8"/>
  <c r="E8" i="8"/>
  <c r="E31" i="8"/>
  <c r="E53" i="8"/>
  <c r="E59" i="8"/>
  <c r="E104" i="8"/>
  <c r="E118" i="8"/>
  <c r="E143" i="8"/>
  <c r="E9" i="8"/>
  <c r="E42" i="8"/>
  <c r="E47" i="8"/>
  <c r="E102" i="8"/>
  <c r="E10" i="8"/>
  <c r="E29" i="8"/>
  <c r="E40" i="8"/>
  <c r="E106" i="8"/>
  <c r="E11" i="8"/>
  <c r="E19" i="8"/>
  <c r="E41" i="8"/>
  <c r="E54" i="8"/>
  <c r="E69" i="8"/>
  <c r="E12" i="8"/>
  <c r="E37" i="8"/>
  <c r="E112" i="8"/>
  <c r="E114" i="8"/>
  <c r="E121" i="8"/>
  <c r="E14" i="8"/>
  <c r="E20" i="8"/>
  <c r="E58" i="8"/>
  <c r="E110" i="8"/>
  <c r="E15" i="8"/>
  <c r="E22" i="8"/>
  <c r="E33" i="8"/>
  <c r="E38" i="8"/>
  <c r="E46" i="8"/>
  <c r="E109" i="8"/>
  <c r="E17" i="8"/>
  <c r="E75" i="8"/>
  <c r="E124" i="8"/>
  <c r="E127" i="8"/>
  <c r="E18" i="8"/>
  <c r="E96" i="8"/>
  <c r="E21" i="8"/>
  <c r="E64" i="8"/>
  <c r="E133" i="8"/>
  <c r="E23" i="8"/>
  <c r="E66" i="8"/>
  <c r="E70" i="8"/>
  <c r="E113" i="8"/>
  <c r="E137" i="8"/>
  <c r="E24" i="8"/>
  <c r="E30" i="8"/>
  <c r="E39" i="8"/>
  <c r="E55" i="8"/>
  <c r="E91" i="8"/>
  <c r="E115" i="8"/>
  <c r="E25" i="8"/>
  <c r="E45" i="8"/>
  <c r="E49" i="8"/>
  <c r="E86" i="8"/>
  <c r="E26" i="8"/>
  <c r="E51" i="8"/>
  <c r="E28" i="8"/>
  <c r="E63" i="8"/>
  <c r="E83" i="8"/>
  <c r="E136" i="8"/>
  <c r="E34" i="8"/>
  <c r="E56" i="8"/>
  <c r="E94" i="8"/>
  <c r="E35" i="8"/>
  <c r="E57" i="8"/>
  <c r="E71" i="8"/>
  <c r="E120" i="8"/>
  <c r="E146" i="8"/>
  <c r="E148" i="8"/>
  <c r="E36" i="8"/>
  <c r="E78" i="8"/>
  <c r="E79" i="8"/>
  <c r="E130" i="8"/>
  <c r="E149" i="8"/>
  <c r="E43" i="8"/>
  <c r="E62" i="8"/>
  <c r="E67" i="8"/>
  <c r="E90" i="8"/>
  <c r="E105" i="8"/>
  <c r="E44" i="8"/>
  <c r="E108" i="8"/>
  <c r="E117" i="8"/>
  <c r="E139" i="8"/>
  <c r="E48" i="8"/>
  <c r="E52" i="8"/>
  <c r="E68" i="8"/>
  <c r="E74" i="8"/>
  <c r="E84" i="8"/>
  <c r="E111" i="8"/>
  <c r="E119" i="8"/>
  <c r="E131" i="8"/>
  <c r="E60" i="8"/>
  <c r="E97" i="8"/>
  <c r="E128" i="8"/>
  <c r="E61" i="8"/>
  <c r="E132" i="8"/>
  <c r="E72" i="8"/>
  <c r="E100" i="8"/>
  <c r="E142" i="8"/>
  <c r="E147" i="8"/>
  <c r="E73" i="8"/>
  <c r="E81" i="8"/>
  <c r="E85" i="8"/>
  <c r="E135" i="8"/>
  <c r="E150" i="8"/>
  <c r="E76" i="8"/>
  <c r="E89" i="8"/>
  <c r="E93" i="8"/>
  <c r="E107" i="8"/>
  <c r="E125" i="8"/>
  <c r="E140" i="8"/>
  <c r="E92" i="8"/>
  <c r="E99" i="8"/>
  <c r="E101" i="8"/>
  <c r="E126" i="8"/>
  <c r="E144" i="8"/>
  <c r="E145" i="8"/>
  <c r="E2" i="8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4FC1C-E690-4F81-9B12-95B32CAFE41F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sharedStrings.xml><?xml version="1.0" encoding="utf-8"?>
<sst xmlns="http://schemas.openxmlformats.org/spreadsheetml/2006/main" count="2556" uniqueCount="303">
  <si>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</si>
  <si>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</si>
  <si>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</si>
  <si>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</si>
  <si>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</si>
  <si>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</si>
  <si>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</si>
  <si>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</si>
  <si>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</si>
  <si>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</si>
  <si>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</si>
  <si>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</si>
  <si>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</si>
  <si>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</si>
  <si>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</si>
  <si>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</si>
  <si>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</si>
  <si>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</si>
  <si>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</si>
  <si>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</si>
  <si>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</si>
  <si>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</si>
  <si>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</si>
  <si>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</si>
  <si>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</si>
  <si>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</si>
  <si>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</si>
  <si>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</si>
  <si>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</si>
  <si>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</si>
  <si>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</si>
  <si>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</si>
  <si>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</si>
  <si>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</si>
  <si>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</si>
  <si>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</si>
  <si>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</si>
  <si>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</si>
  <si>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</si>
  <si>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</si>
  <si>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</si>
  <si>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</si>
  <si>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</si>
  <si>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</si>
  <si>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</si>
  <si>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</si>
  <si>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</si>
  <si>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</si>
  <si>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</si>
  <si>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</si>
  <si>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</si>
  <si>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</si>
  <si>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</si>
  <si>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</si>
  <si>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</si>
  <si>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</si>
  <si>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</si>
  <si>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</si>
  <si>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</si>
  <si>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</si>
  <si>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</si>
  <si>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</si>
  <si>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</si>
  <si>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</si>
  <si>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</si>
  <si>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</si>
  <si>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</si>
  <si>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</si>
  <si>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</si>
  <si>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</si>
  <si>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</si>
  <si>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</si>
  <si>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</si>
  <si>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</si>
  <si>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</si>
  <si>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</si>
  <si>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</si>
  <si>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</si>
  <si>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</si>
  <si>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</si>
  <si>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</si>
  <si>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</si>
  <si>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</si>
  <si>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</si>
  <si>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</si>
  <si>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</si>
  <si>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</si>
  <si>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</si>
  <si>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</si>
  <si>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</si>
  <si>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</si>
  <si>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</si>
  <si>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</si>
  <si>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</si>
  <si>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</si>
  <si>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</si>
  <si>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</si>
  <si>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</si>
  <si>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</si>
  <si>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</si>
  <si>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</si>
  <si>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</si>
  <si>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</si>
  <si>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</si>
  <si>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</si>
  <si>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</si>
  <si>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</si>
  <si>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</si>
  <si>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</si>
  <si>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</si>
  <si>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</si>
  <si>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</si>
  <si>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</si>
  <si>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</si>
  <si>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</si>
  <si>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</si>
  <si>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</si>
  <si>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</si>
  <si>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</si>
  <si>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</si>
  <si>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</si>
  <si>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</si>
  <si>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</si>
  <si>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</si>
  <si>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</si>
  <si>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</si>
  <si>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</si>
  <si>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</si>
  <si>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</si>
  <si>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</si>
  <si>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</si>
  <si>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</si>
  <si>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</si>
  <si>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</si>
  <si>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</si>
  <si>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</si>
  <si>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</si>
  <si>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</si>
  <si>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</si>
  <si>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</si>
  <si>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</si>
  <si>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</si>
  <si>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</si>
  <si>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</si>
  <si>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</si>
  <si>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</si>
  <si>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</si>
  <si>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</si>
  <si>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</si>
  <si>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</si>
  <si>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</si>
  <si>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</si>
  <si>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</si>
  <si>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</si>
  <si>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</si>
  <si>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</si>
  <si>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</si>
  <si>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</si>
  <si>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</si>
  <si>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</si>
  <si>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</si>
  <si>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</si>
  <si>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</si>
  <si>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</si>
  <si>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</si>
  <si>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</si>
  <si>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</si>
  <si>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</si>
  <si>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</si>
  <si>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</si>
  <si>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</si>
  <si>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</si>
  <si>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</si>
  <si>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</si>
  <si>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</si>
  <si>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</si>
  <si>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</si>
  <si>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</si>
  <si>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</si>
  <si>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</si>
  <si>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</si>
  <si>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</si>
  <si>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</si>
  <si>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</si>
  <si>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</si>
  <si>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</si>
  <si>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</si>
  <si>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</si>
  <si>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</si>
  <si>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</si>
  <si>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</si>
  <si>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</si>
  <si>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</si>
  <si>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</si>
  <si>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</si>
  <si>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</si>
  <si>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</si>
  <si>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</si>
  <si>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</si>
  <si>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</si>
  <si>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</si>
  <si>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</si>
  <si>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</si>
  <si>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</si>
  <si>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</si>
  <si>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</si>
  <si>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</si>
  <si>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</si>
  <si>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</si>
  <si>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</si>
  <si>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</si>
  <si>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</si>
  <si>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</si>
  <si>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</si>
  <si>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</si>
  <si>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</si>
  <si>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</si>
  <si>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</si>
  <si>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</si>
  <si>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</si>
  <si>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</si>
  <si>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</si>
  <si>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</si>
  <si>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</si>
  <si>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</si>
  <si>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</si>
  <si>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</si>
  <si>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</si>
  <si>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</si>
  <si>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</si>
  <si>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</si>
  <si>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</si>
  <si>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</si>
  <si>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</si>
  <si>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</si>
  <si>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</si>
  <si>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</si>
  <si>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</si>
  <si>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</si>
  <si>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</si>
  <si>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</si>
  <si>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</si>
  <si>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</si>
  <si>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</si>
  <si>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</si>
  <si>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</si>
  <si>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</si>
  <si>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</si>
  <si>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</si>
  <si>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</si>
  <si>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</si>
  <si>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</si>
  <si>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</si>
  <si>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</si>
  <si>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</si>
  <si>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</si>
  <si>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</si>
  <si>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</si>
  <si>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</si>
  <si>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</si>
  <si>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</si>
  <si>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</si>
  <si>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</si>
  <si>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</si>
  <si>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</si>
  <si>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</si>
  <si>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</si>
  <si>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</si>
  <si>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</si>
  <si>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</si>
  <si>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</si>
  <si>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</si>
  <si>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</si>
  <si>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</si>
  <si>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</si>
  <si>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</si>
  <si>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</si>
  <si>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</si>
  <si>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</si>
  <si>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</si>
  <si>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</si>
  <si>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Cleaned_Salary</t>
  </si>
  <si>
    <t>Cleaned D.O.J</t>
  </si>
  <si>
    <t>Cleaned P.R</t>
  </si>
  <si>
    <t>Cleaned Email</t>
  </si>
  <si>
    <t>Country 1</t>
  </si>
  <si>
    <t>WFH</t>
  </si>
  <si>
    <t>WFO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</si>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</sst>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9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sz val="8"/>
      <name val="Calibri"/>
      <family val="2"/>
      <scheme val="minor"/>
    </font>
    <font>
      <b/>
      <sz val="12"/>
      <color rgb="FFFF0000"/>
      <name val="Aptos"/>
      <family val="2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i/>
      <sz val="14"/>
      <color rgb="FFFF000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0" fillId="0" borderId="0" xfId="0" applyNumberFormat="1"/>
    <xf numFmtId="1" fontId="1" fillId="2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4" borderId="2" xfId="0" applyFont="1" applyFill="1" applyBorder="1"/>
    <xf numFmtId="0" fontId="6" fillId="3" borderId="2" xfId="0" applyFont="1" applyFill="1" applyBorder="1" applyAlignment="1">
      <alignment horizontal="center"/>
    </xf>
    <xf numFmtId="0" fontId="8" fillId="4" borderId="2" xfId="0" applyFont="1" applyFill="1" applyBorder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1" formatCode="0"/>
    </dxf>
    <dxf>
      <numFmt numFmtId="19" formatCode="dd/mm/yy"/>
    </dxf>
    <dxf>
      <numFmt numFmtId="164" formatCode="&quot;$&quot;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9" formatCode="dd/mm/yy"/>
    </dxf>
    <dxf>
      <numFmt numFmtId="19" formatCode="dd/mm/yy"/>
    </dxf>
    <dxf>
      <numFmt numFmtId="164" formatCode="&quot;$&quot;#,##0"/>
    </dxf>
    <dxf>
      <numFmt numFmtId="164" formatCode="&quot;$&quot;#,##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2ADEDF-AAD7-4806-BB4E-86CCF0D3DBC4}" autoFormatId="16" applyNumberFormats="0" applyBorderFormats="0" applyFontFormats="0" applyPatternFormats="0" applyAlignmentFormats="0" applyWidthHeightFormats="0">
  <queryTableRefresh nextId="18">
    <queryTableFields count="10">
      <queryTableField id="3" name="Count.Employee ID" tableColumnId="3"/>
      <queryTableField id="4" name="Count.Name" tableColumnId="4"/>
      <queryTableField id="5" name="Count.Department" tableColumnId="5"/>
      <queryTableField id="6" name="Count.Country" tableColumnId="6"/>
      <queryTableField id="15" dataBound="0" tableColumnId="15"/>
      <queryTableField id="8" name="Count.Cleaned_Salary" tableColumnId="8"/>
      <queryTableField id="10" name="Count.Cleaned D.O.J" tableColumnId="10"/>
      <queryTableField id="12" name="Count.Cleaned P.R" tableColumnId="12"/>
      <queryTableField id="13" name="Count.Gender" tableColumnId="13"/>
      <queryTableField id="14" name="Count.Email" tableColumnId="14"/>
    </queryTableFields>
    <queryTableDeletedFields count="5">
      <deletedField name="Department"/>
      <deletedField name="Country"/>
      <deletedField name="Count.Date of Joining"/>
      <deletedField name="Count.Salary"/>
      <deletedField name="Count.Performance Rating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6" headerRowBorderDxfId="25" tableBorderDxfId="24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3"/>
    <tableColumn id="6" xr3:uid="{69DB2B4C-47AF-4599-8436-DE1B02912889}" name="Date of Joining" dataDxfId="22"/>
    <tableColumn id="7" xr3:uid="{A039AA54-CEBF-4005-9B74-E9C6265A57A1}" name="Performance Rating" dataDxfId="21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4F7FD-7934-4369-B6F4-BD884C43E943}" name="Table13" displayName="Table13" ref="A1:M150" totalsRowShown="0" headerRowDxfId="20" headerRowBorderDxfId="19" tableBorderDxfId="18">
  <autoFilter ref="A1:M150" xr:uid="{4814F7FD-7934-4369-B6F4-BD884C43E943}"/>
  <tableColumns count="13">
    <tableColumn id="1" xr3:uid="{D6E22364-E064-4137-987F-41B8AE582A59}" name="Employee ID" dataDxfId="17"/>
    <tableColumn id="2" xr3:uid="{6272306C-C02E-4025-A2FD-7AFF03505B01}" name="Name"/>
    <tableColumn id="3" xr3:uid="{69749571-2DC1-4463-81CD-F8CFF59D20ED}" name="Department"/>
    <tableColumn id="4" xr3:uid="{5019266B-2426-4E98-AFA5-F31C0BB5A993}" name="Country"/>
    <tableColumn id="5" xr3:uid="{567416F3-01BF-4F44-B568-F8B29D2E1034}" name="Salary" dataDxfId="16"/>
    <tableColumn id="10" xr3:uid="{CD19BD97-79C8-4EB7-A3C7-601FC33DE704}" name="Cleaned_Salary" dataDxfId="15">
      <calculatedColumnFormula>IF(Table13[[#This Row],[Salary]]="N/A",AVERAGEIF(Table13[Department],Table13[[#This Row],[Department]],Table13[Salary]),Table13[[#This Row],[Salary]])</calculatedColumnFormula>
    </tableColumn>
    <tableColumn id="6" xr3:uid="{EFCDAE5B-DD0B-4850-8045-6931389BC8E4}" name="Date of Joining" dataDxfId="14"/>
    <tableColumn id="11" xr3:uid="{9A4B13C1-BAFF-4352-A8D4-6A2B420B58CF}" name="Cleaned D.O.J" dataDxfId="13">
      <calculatedColumnFormula>IF(Table13[[#This Row],[Date of Joining]]="",MEDIAN($G$2:$G$30),Table13[[#This Row],[Date of Joining]])</calculatedColumnFormula>
    </tableColumn>
    <tableColumn id="7" xr3:uid="{233EBC0F-B0B3-4107-ABB6-5B96C0D32E20}" name="Performance Rating" dataDxfId="12"/>
    <tableColumn id="13" xr3:uid="{F4750412-D97A-4FF0-84C2-36F88C700BB4}" name="Cleaned P.R" dataDxfId="11">
      <calculatedColumnFormula>IF(Table13[[#This Row],[Performance Rating]]="",AVERAGE(Table13[Performance Rating]),Table13[[#This Row],[Performance Rating]])</calculatedColumnFormula>
    </tableColumn>
    <tableColumn id="8" xr3:uid="{1D75E1E9-DD80-46A1-9387-2FFB6634C877}" name="Gender"/>
    <tableColumn id="9" xr3:uid="{DA46BB16-913A-4A27-8562-7BDA0D59ACE1}" name="Email"/>
    <tableColumn id="15" xr3:uid="{01B3739A-D59A-439C-B1F8-F82A5D30B4F8}" name="Cleaned Email">
      <calculatedColumnFormula>IF(Table13[[#This Row],[Email]]="invalid_email","Unknown",Table13[[#This Row],[Email]])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4C687F-6456-435B-88C6-78AE04F0238B}" name="Table13_1" displayName="Table13_1" ref="A1:J150" tableType="queryTable" totalsRowShown="0" headerRowDxfId="10">
  <autoFilter ref="A1:J150" xr:uid="{5D4C687F-6456-435B-88C6-78AE04F0238B}"/>
  <sortState xmlns:xlrd2="http://schemas.microsoft.com/office/spreadsheetml/2017/richdata2" ref="A2:J150">
    <sortCondition ref="A1:A150"/>
  </sortState>
  <tableColumns count="10">
    <tableColumn id="3" xr3:uid="{38CF613F-C9DA-49D4-8186-01CD0924C5B2}" uniqueName="3" name="Employee ID" queryTableFieldId="3" dataDxfId="9"/>
    <tableColumn id="4" xr3:uid="{DC21630A-ECFE-447F-BF91-61D5F9E715FB}" uniqueName="4" name="Name" queryTableFieldId="4" dataDxfId="8"/>
    <tableColumn id="5" xr3:uid="{727F13C0-3054-493D-9DC8-4DCD65AB0487}" uniqueName="5" name="Department" queryTableFieldId="5" dataDxfId="7"/>
    <tableColumn id="6" xr3:uid="{795F0CBA-906B-4B14-8F8E-B000E624343C}" uniqueName="6" name="Country 1" queryTableFieldId="6" dataDxfId="6"/>
    <tableColumn id="15" xr3:uid="{E9834C14-E018-4B0A-A3D9-32B8AFAEC55D}" uniqueName="15" name="Country" queryTableFieldId="15" dataDxfId="5">
      <calculatedColumnFormula>IF(Table13_1[[#This Row],[Country 1]]=" ","Unknown",Table13_1[[#This Row],[Country 1]])</calculatedColumnFormula>
    </tableColumn>
    <tableColumn id="8" xr3:uid="{0C49936F-BC9C-4394-9399-092683C556A8}" uniqueName="8" name="Salary" queryTableFieldId="8" dataDxfId="4"/>
    <tableColumn id="10" xr3:uid="{0D6B7787-C6C0-4B8D-8BF5-271414DC552A}" uniqueName="10" name="Date of Joining" queryTableFieldId="10" dataDxfId="3"/>
    <tableColumn id="12" xr3:uid="{BA24CA71-7EAB-4A03-9E76-2E5E7B2851B4}" uniqueName="12" name="Performance Rating" queryTableFieldId="12" dataDxfId="2"/>
    <tableColumn id="13" xr3:uid="{581992C1-5F82-4D81-8E8F-182CB049C079}" uniqueName="13" name="Gender" queryTableFieldId="13" dataDxfId="1"/>
    <tableColumn id="14" xr3:uid="{7BCCAEA5-27BE-45A8-A884-87082B2EFD50}" uniqueName="14" name="Email" queryTableFieldId="14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A21" sqref="A21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E948-63B5-4FA5-BBA4-98A60A7F82B2}">
  <sheetPr>
    <tabColor rgb="FFFFC000"/>
  </sheetPr>
  <dimension ref="A1:O150"/>
  <sheetViews>
    <sheetView workbookViewId="0">
      <selection activeCell="O4" sqref="O4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1.6640625" style="3" customWidth="1"/>
    <col min="7" max="7" width="20.109375" style="10" bestFit="1" customWidth="1"/>
    <col min="8" max="8" width="20.109375" style="10" customWidth="1"/>
    <col min="9" max="9" width="25.77734375" style="8" bestFit="1" customWidth="1"/>
    <col min="10" max="10" width="18.21875" style="8" customWidth="1"/>
    <col min="11" max="11" width="12.88671875" bestFit="1" customWidth="1"/>
    <col min="12" max="13" width="20.44140625" bestFit="1" customWidth="1"/>
    <col min="20" max="20" width="11" customWidth="1"/>
    <col min="21" max="21" width="14.21875" customWidth="1"/>
  </cols>
  <sheetData>
    <row r="1" spans="1:15" ht="15.6" x14ac:dyDescent="0.3">
      <c r="A1" s="15" t="s">
        <v>0</v>
      </c>
      <c r="B1" s="15" t="s">
        <v>1</v>
      </c>
      <c r="C1" s="1" t="s">
        <v>2</v>
      </c>
      <c r="D1" s="1" t="s">
        <v>3</v>
      </c>
      <c r="E1" s="2" t="s">
        <v>4</v>
      </c>
      <c r="F1" s="12" t="s">
        <v>281</v>
      </c>
      <c r="G1" s="9" t="s">
        <v>5</v>
      </c>
      <c r="H1" s="13" t="s">
        <v>282</v>
      </c>
      <c r="I1" s="11" t="s">
        <v>6</v>
      </c>
      <c r="J1" s="14" t="s">
        <v>283</v>
      </c>
      <c r="K1" s="1" t="s">
        <v>7</v>
      </c>
      <c r="L1" s="1" t="s">
        <v>8</v>
      </c>
      <c r="M1" s="15" t="s">
        <v>284</v>
      </c>
    </row>
    <row r="2" spans="1:15" x14ac:dyDescent="0.3">
      <c r="A2" t="s">
        <v>10</v>
      </c>
      <c r="B2" t="s">
        <v>159</v>
      </c>
      <c r="C2" t="s">
        <v>167</v>
      </c>
      <c r="D2" t="s">
        <v>172</v>
      </c>
      <c r="E2" s="3">
        <v>54255</v>
      </c>
      <c r="F2" s="3">
        <f>IF(Table13[[#This Row],[Salary]]="N/A",AVERAGEIF(Table13[Department],Table13[[#This Row],[Department]],Table13[Salary]),Table13[[#This Row],[Salary]])</f>
        <v>54255</v>
      </c>
      <c r="G2" s="10">
        <v>42015</v>
      </c>
      <c r="H2" s="10">
        <f>IF(Table13[[#This Row],[Date of Joining]]="",MEDIAN($G$2:$G$30),Table13[[#This Row],[Date of Joining]])</f>
        <v>42015</v>
      </c>
      <c r="I2" s="8">
        <v>1</v>
      </c>
      <c r="J2" s="8">
        <f>IF(Table13[[#This Row],[Performance Rating]]="",AVERAGE(Table13[Performance Rating]),Table13[[#This Row],[Performance Rating]])</f>
        <v>1</v>
      </c>
      <c r="K2" t="s">
        <v>179</v>
      </c>
      <c r="L2" t="s">
        <v>183</v>
      </c>
      <c r="M2" t="str">
        <f>IF(Table13[[#This Row],[Email]]="invalid_email","Unknown",Table13[[#This Row],[Email]])</f>
        <v>user106@example.com</v>
      </c>
      <c r="O2" t="s">
        <v>286</v>
      </c>
    </row>
    <row r="3" spans="1:15" x14ac:dyDescent="0.3">
      <c r="A3" t="s">
        <v>11</v>
      </c>
      <c r="B3" t="s">
        <v>160</v>
      </c>
      <c r="C3" t="s">
        <v>166</v>
      </c>
      <c r="D3" t="s">
        <v>172</v>
      </c>
      <c r="E3" s="3">
        <v>63184</v>
      </c>
      <c r="F3" s="3">
        <f>IF(Table13[[#This Row],[Salary]]="N/A",AVERAGEIF(Table13[Department],Table13[[#This Row],[Department]],Table13[Salary]),Table13[[#This Row],[Salary]])</f>
        <v>63184</v>
      </c>
      <c r="G3" s="10">
        <v>42022</v>
      </c>
      <c r="H3" s="10">
        <f>IF(Table13[[#This Row],[Date of Joining]]="",MEDIAN($G$2:$G$30),Table13[[#This Row],[Date of Joining]])</f>
        <v>42022</v>
      </c>
      <c r="I3" s="8">
        <v>2</v>
      </c>
      <c r="J3" s="8">
        <f>IF(Table13[[#This Row],[Performance Rating]]="",AVERAGE(Table13[Performance Rating]),Table13[[#This Row],[Performance Rating]])</f>
        <v>2</v>
      </c>
      <c r="L3" t="s">
        <v>184</v>
      </c>
      <c r="M3" t="str">
        <f>IF(Table13[[#This Row],[Email]]="invalid_email","Unknown",Table13[[#This Row],[Email]])</f>
        <v>user176@example.com</v>
      </c>
      <c r="O3" t="s">
        <v>287</v>
      </c>
    </row>
    <row r="4" spans="1:15" x14ac:dyDescent="0.3">
      <c r="A4" t="s">
        <v>12</v>
      </c>
      <c r="B4" t="s">
        <v>161</v>
      </c>
      <c r="C4" t="s">
        <v>168</v>
      </c>
      <c r="D4" t="s">
        <v>173</v>
      </c>
      <c r="E4" s="3">
        <v>94406</v>
      </c>
      <c r="F4" s="3">
        <f>IF(Table13[[#This Row],[Salary]]="N/A",AVERAGEIF(Table13[Department],Table13[[#This Row],[Department]],Table13[Salary]),Table13[[#This Row],[Salary]])</f>
        <v>94406</v>
      </c>
      <c r="G4" s="10">
        <v>42029</v>
      </c>
      <c r="H4" s="10">
        <f>IF(Table13[[#This Row],[Date of Joining]]="",MEDIAN($G$2:$G$30),Table13[[#This Row],[Date of Joining]])</f>
        <v>42029</v>
      </c>
      <c r="I4" s="8">
        <v>1</v>
      </c>
      <c r="J4" s="8">
        <f>IF(Table13[[#This Row],[Performance Rating]]="",AVERAGE(Table13[Performance Rating]),Table13[[#This Row],[Performance Rating]])</f>
        <v>1</v>
      </c>
      <c r="K4" t="s">
        <v>180</v>
      </c>
      <c r="L4" t="s">
        <v>185</v>
      </c>
      <c r="M4" t="str">
        <f>IF(Table13[[#This Row],[Email]]="invalid_email","Unknown",Table13[[#This Row],[Email]])</f>
        <v>user168@example.com</v>
      </c>
    </row>
    <row r="5" spans="1:15" x14ac:dyDescent="0.3">
      <c r="A5" t="s">
        <v>13</v>
      </c>
      <c r="B5" t="s">
        <v>162</v>
      </c>
      <c r="C5" t="s">
        <v>168</v>
      </c>
      <c r="D5" t="s">
        <v>172</v>
      </c>
      <c r="E5" s="3">
        <v>64120</v>
      </c>
      <c r="F5" s="3">
        <f>IF(Table13[[#This Row],[Salary]]="N/A",AVERAGEIF(Table13[Department],Table13[[#This Row],[Department]],Table13[Salary]),Table13[[#This Row],[Salary]])</f>
        <v>64120</v>
      </c>
      <c r="G5" s="10">
        <v>42036</v>
      </c>
      <c r="H5" s="10">
        <f>IF(Table13[[#This Row],[Date of Joining]]="",MEDIAN($G$2:$G$30),Table13[[#This Row],[Date of Joining]])</f>
        <v>42036</v>
      </c>
      <c r="I5" s="8">
        <v>1</v>
      </c>
      <c r="J5" s="8">
        <f>IF(Table13[[#This Row],[Performance Rating]]="",AVERAGE(Table13[Performance Rating]),Table13[[#This Row],[Performance Rating]])</f>
        <v>1</v>
      </c>
      <c r="K5" t="s">
        <v>180</v>
      </c>
      <c r="L5" t="s">
        <v>186</v>
      </c>
      <c r="M5" t="str">
        <f>IF(Table13[[#This Row],[Email]]="invalid_email","Unknown",Table13[[#This Row],[Email]])</f>
        <v>user49@example.com</v>
      </c>
    </row>
    <row r="6" spans="1:15" x14ac:dyDescent="0.3">
      <c r="A6" t="s">
        <v>14</v>
      </c>
      <c r="B6" t="s">
        <v>160</v>
      </c>
      <c r="C6" t="s">
        <v>169</v>
      </c>
      <c r="D6" t="s">
        <v>174</v>
      </c>
      <c r="E6" s="3">
        <v>78421</v>
      </c>
      <c r="F6" s="3">
        <f>IF(Table13[[#This Row],[Salary]]="N/A",AVERAGEIF(Table13[Department],Table13[[#This Row],[Department]],Table13[Salary]),Table13[[#This Row],[Salary]])</f>
        <v>78421</v>
      </c>
      <c r="G6" s="10">
        <v>42043</v>
      </c>
      <c r="H6" s="10">
        <f>IF(Table13[[#This Row],[Date of Joining]]="",MEDIAN($G$2:$G$30),Table13[[#This Row],[Date of Joining]])</f>
        <v>42043</v>
      </c>
      <c r="I6" s="8">
        <v>2</v>
      </c>
      <c r="J6" s="8">
        <f>IF(Table13[[#This Row],[Performance Rating]]="",AVERAGE(Table13[Performance Rating]),Table13[[#This Row],[Performance Rating]])</f>
        <v>2</v>
      </c>
      <c r="K6" t="s">
        <v>181</v>
      </c>
      <c r="L6" t="s">
        <v>187</v>
      </c>
      <c r="M6" t="str">
        <f>IF(Table13[[#This Row],[Email]]="invalid_email","Unknown",Table13[[#This Row],[Email]])</f>
        <v>user24@example.com</v>
      </c>
    </row>
    <row r="7" spans="1:15" x14ac:dyDescent="0.3">
      <c r="A7" t="s">
        <v>15</v>
      </c>
      <c r="B7" t="s">
        <v>163</v>
      </c>
      <c r="C7" t="s">
        <v>168</v>
      </c>
      <c r="E7" s="3">
        <v>67721</v>
      </c>
      <c r="F7" s="3">
        <f>IF(Table13[[#This Row],[Salary]]="N/A",AVERAGEIF(Table13[Department],Table13[[#This Row],[Department]],Table13[Salary]),Table13[[#This Row],[Salary]])</f>
        <v>67721</v>
      </c>
      <c r="G7" s="10">
        <v>42050</v>
      </c>
      <c r="H7" s="10">
        <f>IF(Table13[[#This Row],[Date of Joining]]="",MEDIAN($G$2:$G$30),Table13[[#This Row],[Date of Joining]])</f>
        <v>42050</v>
      </c>
      <c r="J7" s="8">
        <f>IF(Table13[[#This Row],[Performance Rating]]="",AVERAGE(Table13[Performance Rating]),Table13[[#This Row],[Performance Rating]])</f>
        <v>2.879032258064516</v>
      </c>
      <c r="K7" t="s">
        <v>180</v>
      </c>
      <c r="L7" t="s">
        <v>185</v>
      </c>
      <c r="M7" t="str">
        <f>IF(Table13[[#This Row],[Email]]="invalid_email","Unknown",Table13[[#This Row],[Email]])</f>
        <v>user168@example.com</v>
      </c>
    </row>
    <row r="8" spans="1:15" x14ac:dyDescent="0.3">
      <c r="A8" t="s">
        <v>16</v>
      </c>
      <c r="B8" t="s">
        <v>164</v>
      </c>
      <c r="C8" t="s">
        <v>170</v>
      </c>
      <c r="E8" s="3">
        <v>35364</v>
      </c>
      <c r="F8" s="3">
        <f>IF(Table13[[#This Row],[Salary]]="N/A",AVERAGEIF(Table13[Department],Table13[[#This Row],[Department]],Table13[Salary]),Table13[[#This Row],[Salary]])</f>
        <v>35364</v>
      </c>
      <c r="G8" s="10">
        <v>42057</v>
      </c>
      <c r="H8" s="10">
        <f>IF(Table13[[#This Row],[Date of Joining]]="",MEDIAN($G$2:$G$30),Table13[[#This Row],[Date of Joining]])</f>
        <v>42057</v>
      </c>
      <c r="I8" s="8">
        <v>2</v>
      </c>
      <c r="J8" s="8">
        <f>IF(Table13[[#This Row],[Performance Rating]]="",AVERAGE(Table13[Performance Rating]),Table13[[#This Row],[Performance Rating]])</f>
        <v>2</v>
      </c>
      <c r="K8" t="s">
        <v>179</v>
      </c>
      <c r="L8" t="s">
        <v>188</v>
      </c>
      <c r="M8" t="str">
        <f>IF(Table13[[#This Row],[Email]]="invalid_email","Unknown",Table13[[#This Row],[Email]])</f>
        <v>user26@example.com</v>
      </c>
    </row>
    <row r="9" spans="1:15" x14ac:dyDescent="0.3">
      <c r="A9" t="s">
        <v>17</v>
      </c>
      <c r="B9" t="s">
        <v>160</v>
      </c>
      <c r="C9" t="s">
        <v>169</v>
      </c>
      <c r="D9" t="s">
        <v>172</v>
      </c>
      <c r="E9" s="3">
        <v>97881</v>
      </c>
      <c r="F9" s="3">
        <f>IF(Table13[[#This Row],[Salary]]="N/A",AVERAGEIF(Table13[Department],Table13[[#This Row],[Department]],Table13[Salary]),Table13[[#This Row],[Salary]])</f>
        <v>97881</v>
      </c>
      <c r="G9" s="10">
        <v>42064</v>
      </c>
      <c r="H9" s="10">
        <f>IF(Table13[[#This Row],[Date of Joining]]="",MEDIAN($G$2:$G$30),Table13[[#This Row],[Date of Joining]])</f>
        <v>42064</v>
      </c>
      <c r="J9" s="8">
        <f>IF(Table13[[#This Row],[Performance Rating]]="",AVERAGE(Table13[Performance Rating]),Table13[[#This Row],[Performance Rating]])</f>
        <v>2.879032258064516</v>
      </c>
      <c r="K9" t="s">
        <v>181</v>
      </c>
      <c r="L9" t="s">
        <v>189</v>
      </c>
      <c r="M9" t="str">
        <f>IF(Table13[[#This Row],[Email]]="invalid_email","Unknown",Table13[[#This Row],[Email]])</f>
        <v>user25@example.com</v>
      </c>
    </row>
    <row r="10" spans="1:15" x14ac:dyDescent="0.3">
      <c r="A10" t="s">
        <v>18</v>
      </c>
      <c r="B10" t="s">
        <v>164</v>
      </c>
      <c r="C10" t="s">
        <v>167</v>
      </c>
      <c r="D10" t="s">
        <v>175</v>
      </c>
      <c r="E10" s="3">
        <v>91846</v>
      </c>
      <c r="F10" s="3">
        <f>IF(Table13[[#This Row],[Salary]]="N/A",AVERAGEIF(Table13[Department],Table13[[#This Row],[Department]],Table13[Salary]),Table13[[#This Row],[Salary]])</f>
        <v>91846</v>
      </c>
      <c r="G10" s="10">
        <v>42071</v>
      </c>
      <c r="H10" s="10">
        <f>IF(Table13[[#This Row],[Date of Joining]]="",MEDIAN($G$2:$G$30),Table13[[#This Row],[Date of Joining]])</f>
        <v>42071</v>
      </c>
      <c r="J10" s="8">
        <f>IF(Table13[[#This Row],[Performance Rating]]="",AVERAGE(Table13[Performance Rating]),Table13[[#This Row],[Performance Rating]])</f>
        <v>2.879032258064516</v>
      </c>
      <c r="K10" t="s">
        <v>180</v>
      </c>
      <c r="L10" t="s">
        <v>190</v>
      </c>
      <c r="M10" t="str">
        <f>IF(Table13[[#This Row],[Email]]="invalid_email","Unknown",Table13[[#This Row],[Email]])</f>
        <v>user153@example.com</v>
      </c>
    </row>
    <row r="11" spans="1:15" x14ac:dyDescent="0.3">
      <c r="A11" t="s">
        <v>19</v>
      </c>
      <c r="B11" t="s">
        <v>163</v>
      </c>
      <c r="C11" t="s">
        <v>166</v>
      </c>
      <c r="D11" t="s">
        <v>175</v>
      </c>
      <c r="E11" s="3">
        <v>64247</v>
      </c>
      <c r="F11" s="3">
        <f>IF(Table13[[#This Row],[Salary]]="N/A",AVERAGEIF(Table13[Department],Table13[[#This Row],[Department]],Table13[Salary]),Table13[[#This Row],[Salary]])</f>
        <v>64247</v>
      </c>
      <c r="G11" s="10">
        <v>42078</v>
      </c>
      <c r="H11" s="10">
        <f>IF(Table13[[#This Row],[Date of Joining]]="",MEDIAN($G$2:$G$30),Table13[[#This Row],[Date of Joining]])</f>
        <v>42078</v>
      </c>
      <c r="I11" s="8">
        <v>1</v>
      </c>
      <c r="J11" s="8">
        <f>IF(Table13[[#This Row],[Performance Rating]]="",AVERAGE(Table13[Performance Rating]),Table13[[#This Row],[Performance Rating]])</f>
        <v>1</v>
      </c>
      <c r="K11" t="s">
        <v>181</v>
      </c>
      <c r="L11" t="s">
        <v>191</v>
      </c>
      <c r="M11" t="str">
        <f>IF(Table13[[#This Row],[Email]]="invalid_email","Unknown",Table13[[#This Row],[Email]])</f>
        <v>user18@example.com</v>
      </c>
    </row>
    <row r="12" spans="1:15" x14ac:dyDescent="0.3">
      <c r="A12" t="s">
        <v>20</v>
      </c>
      <c r="B12" t="s">
        <v>163</v>
      </c>
      <c r="C12" t="s">
        <v>169</v>
      </c>
      <c r="D12" t="s">
        <v>173</v>
      </c>
      <c r="E12" s="3">
        <v>91180</v>
      </c>
      <c r="F12" s="3">
        <f>IF(Table13[[#This Row],[Salary]]="N/A",AVERAGEIF(Table13[Department],Table13[[#This Row],[Department]],Table13[Salary]),Table13[[#This Row],[Salary]])</f>
        <v>91180</v>
      </c>
      <c r="G12" s="10">
        <v>42085</v>
      </c>
      <c r="H12" s="10">
        <f>IF(Table13[[#This Row],[Date of Joining]]="",MEDIAN($G$2:$G$30),Table13[[#This Row],[Date of Joining]])</f>
        <v>42085</v>
      </c>
      <c r="I12" s="8">
        <v>5</v>
      </c>
      <c r="J12" s="8">
        <f>IF(Table13[[#This Row],[Performance Rating]]="",AVERAGE(Table13[Performance Rating]),Table13[[#This Row],[Performance Rating]])</f>
        <v>5</v>
      </c>
      <c r="K12" t="s">
        <v>180</v>
      </c>
      <c r="L12" t="s">
        <v>192</v>
      </c>
      <c r="M12" t="str">
        <f>IF(Table13[[#This Row],[Email]]="invalid_email","Unknown",Table13[[#This Row],[Email]])</f>
        <v>user1@example.com</v>
      </c>
    </row>
    <row r="13" spans="1:15" x14ac:dyDescent="0.3">
      <c r="A13" t="s">
        <v>21</v>
      </c>
      <c r="B13" t="s">
        <v>165</v>
      </c>
      <c r="C13" t="s">
        <v>168</v>
      </c>
      <c r="E13" s="3">
        <v>96418</v>
      </c>
      <c r="F13" s="3">
        <f>IF(Table13[[#This Row],[Salary]]="N/A",AVERAGEIF(Table13[Department],Table13[[#This Row],[Department]],Table13[Salary]),Table13[[#This Row],[Salary]])</f>
        <v>96418</v>
      </c>
      <c r="G13" s="10">
        <v>42092</v>
      </c>
      <c r="H13" s="10">
        <f>IF(Table13[[#This Row],[Date of Joining]]="",MEDIAN($G$2:$G$30),Table13[[#This Row],[Date of Joining]])</f>
        <v>42092</v>
      </c>
      <c r="I13" s="8">
        <v>5</v>
      </c>
      <c r="J13" s="8">
        <f>IF(Table13[[#This Row],[Performance Rating]]="",AVERAGE(Table13[Performance Rating]),Table13[[#This Row],[Performance Rating]])</f>
        <v>5</v>
      </c>
      <c r="K13" t="s">
        <v>180</v>
      </c>
      <c r="L13" t="s">
        <v>183</v>
      </c>
      <c r="M13" t="str">
        <f>IF(Table13[[#This Row],[Email]]="invalid_email","Unknown",Table13[[#This Row],[Email]])</f>
        <v>user106@example.com</v>
      </c>
    </row>
    <row r="14" spans="1:15" x14ac:dyDescent="0.3">
      <c r="A14" t="s">
        <v>22</v>
      </c>
      <c r="B14" t="s">
        <v>163</v>
      </c>
      <c r="D14" t="s">
        <v>174</v>
      </c>
      <c r="E14" s="3">
        <v>62158</v>
      </c>
      <c r="F14" s="3">
        <f>IF(Table13[[#This Row],[Salary]]="N/A",AVERAGEIF(Table13[Department],Table13[[#This Row],[Department]],Table13[Salary]),Table13[[#This Row],[Salary]])</f>
        <v>62158</v>
      </c>
      <c r="G14" s="10">
        <v>42099</v>
      </c>
      <c r="H14" s="10">
        <f>IF(Table13[[#This Row],[Date of Joining]]="",MEDIAN($G$2:$G$30),Table13[[#This Row],[Date of Joining]])</f>
        <v>42099</v>
      </c>
      <c r="I14" s="8">
        <v>4</v>
      </c>
      <c r="J14" s="8">
        <f>IF(Table13[[#This Row],[Performance Rating]]="",AVERAGE(Table13[Performance Rating]),Table13[[#This Row],[Performance Rating]])</f>
        <v>4</v>
      </c>
      <c r="L14" t="s">
        <v>193</v>
      </c>
      <c r="M14" t="str">
        <f>IF(Table13[[#This Row],[Email]]="invalid_email","Unknown",Table13[[#This Row],[Email]])</f>
        <v>user180@example.com</v>
      </c>
    </row>
    <row r="15" spans="1:15" x14ac:dyDescent="0.3">
      <c r="A15" t="s">
        <v>23</v>
      </c>
      <c r="B15" t="s">
        <v>162</v>
      </c>
      <c r="C15" t="s">
        <v>167</v>
      </c>
      <c r="E15" s="3">
        <v>59894</v>
      </c>
      <c r="F15" s="3">
        <f>IF(Table13[[#This Row],[Salary]]="N/A",AVERAGEIF(Table13[Department],Table13[[#This Row],[Department]],Table13[Salary]),Table13[[#This Row],[Salary]])</f>
        <v>59894</v>
      </c>
      <c r="G15" s="10">
        <v>42106</v>
      </c>
      <c r="H15" s="10">
        <f>IF(Table13[[#This Row],[Date of Joining]]="",MEDIAN($G$2:$G$30),Table13[[#This Row],[Date of Joining]])</f>
        <v>42106</v>
      </c>
      <c r="I15" s="8">
        <v>2</v>
      </c>
      <c r="J15" s="8">
        <f>IF(Table13[[#This Row],[Performance Rating]]="",AVERAGE(Table13[Performance Rating]),Table13[[#This Row],[Performance Rating]])</f>
        <v>2</v>
      </c>
      <c r="K15" t="s">
        <v>180</v>
      </c>
      <c r="L15" t="s">
        <v>194</v>
      </c>
      <c r="M15" t="str">
        <f>IF(Table13[[#This Row],[Email]]="invalid_email","Unknown",Table13[[#This Row],[Email]])</f>
        <v>user184@example.com</v>
      </c>
    </row>
    <row r="16" spans="1:15" x14ac:dyDescent="0.3">
      <c r="A16" t="s">
        <v>24</v>
      </c>
      <c r="B16" t="s">
        <v>178</v>
      </c>
      <c r="C16" t="s">
        <v>169</v>
      </c>
      <c r="D16" t="s">
        <v>174</v>
      </c>
      <c r="E16" s="3">
        <v>92443</v>
      </c>
      <c r="F16" s="3">
        <f>IF(Table13[[#This Row],[Salary]]="N/A",AVERAGEIF(Table13[Department],Table13[[#This Row],[Department]],Table13[Salary]),Table13[[#This Row],[Salary]])</f>
        <v>92443</v>
      </c>
      <c r="G16" s="10">
        <v>42113</v>
      </c>
      <c r="H16" s="10">
        <f>IF(Table13[[#This Row],[Date of Joining]]="",MEDIAN($G$2:$G$30),Table13[[#This Row],[Date of Joining]])</f>
        <v>42113</v>
      </c>
      <c r="I16" s="8">
        <v>3</v>
      </c>
      <c r="J16" s="8">
        <f>IF(Table13[[#This Row],[Performance Rating]]="",AVERAGE(Table13[Performance Rating]),Table13[[#This Row],[Performance Rating]])</f>
        <v>3</v>
      </c>
      <c r="K16" t="s">
        <v>179</v>
      </c>
      <c r="L16" t="s">
        <v>195</v>
      </c>
      <c r="M16" t="str">
        <f>IF(Table13[[#This Row],[Email]]="invalid_email","Unknown",Table13[[#This Row],[Email]])</f>
        <v>user3@example.com</v>
      </c>
    </row>
    <row r="17" spans="1:13" x14ac:dyDescent="0.3">
      <c r="A17" t="s">
        <v>25</v>
      </c>
      <c r="B17" t="s">
        <v>165</v>
      </c>
      <c r="D17" t="s">
        <v>172</v>
      </c>
      <c r="E17" s="3">
        <v>90271</v>
      </c>
      <c r="F17" s="3">
        <f>IF(Table13[[#This Row],[Salary]]="N/A",AVERAGEIF(Table13[Department],Table13[[#This Row],[Department]],Table13[Salary]),Table13[[#This Row],[Salary]])</f>
        <v>90271</v>
      </c>
      <c r="G17" s="10">
        <v>42120</v>
      </c>
      <c r="H17" s="10">
        <f>IF(Table13[[#This Row],[Date of Joining]]="",MEDIAN($G$2:$G$30),Table13[[#This Row],[Date of Joining]])</f>
        <v>42120</v>
      </c>
      <c r="J17" s="8">
        <f>IF(Table13[[#This Row],[Performance Rating]]="",AVERAGE(Table13[Performance Rating]),Table13[[#This Row],[Performance Rating]])</f>
        <v>2.879032258064516</v>
      </c>
      <c r="L17" t="s">
        <v>196</v>
      </c>
      <c r="M17" t="str">
        <f>IF(Table13[[#This Row],[Email]]="invalid_email","Unknown",Table13[[#This Row],[Email]])</f>
        <v>user64@example.com</v>
      </c>
    </row>
    <row r="18" spans="1:13" x14ac:dyDescent="0.3">
      <c r="A18" t="s">
        <v>26</v>
      </c>
      <c r="B18" t="s">
        <v>162</v>
      </c>
      <c r="C18" t="s">
        <v>166</v>
      </c>
      <c r="D18" t="s">
        <v>176</v>
      </c>
      <c r="E18" s="3">
        <v>41341</v>
      </c>
      <c r="F18" s="3">
        <f>IF(Table13[[#This Row],[Salary]]="N/A",AVERAGEIF(Table13[Department],Table13[[#This Row],[Department]],Table13[Salary]),Table13[[#This Row],[Salary]])</f>
        <v>41341</v>
      </c>
      <c r="G18" s="10">
        <v>42127</v>
      </c>
      <c r="H18" s="10">
        <f>IF(Table13[[#This Row],[Date of Joining]]="",MEDIAN($G$2:$G$30),Table13[[#This Row],[Date of Joining]])</f>
        <v>42127</v>
      </c>
      <c r="I18" s="8">
        <v>1</v>
      </c>
      <c r="J18" s="8">
        <f>IF(Table13[[#This Row],[Performance Rating]]="",AVERAGE(Table13[Performance Rating]),Table13[[#This Row],[Performance Rating]])</f>
        <v>1</v>
      </c>
      <c r="K18" t="s">
        <v>179</v>
      </c>
      <c r="L18" t="s">
        <v>197</v>
      </c>
      <c r="M18" t="str">
        <f>IF(Table13[[#This Row],[Email]]="invalid_email","Unknown",Table13[[#This Row],[Email]])</f>
        <v>user38@example.com</v>
      </c>
    </row>
    <row r="19" spans="1:13" x14ac:dyDescent="0.3">
      <c r="A19" t="s">
        <v>27</v>
      </c>
      <c r="B19" t="s">
        <v>160</v>
      </c>
      <c r="C19" t="s">
        <v>166</v>
      </c>
      <c r="D19" t="s">
        <v>175</v>
      </c>
      <c r="E19" s="3">
        <v>73602</v>
      </c>
      <c r="F19" s="3">
        <f>IF(Table13[[#This Row],[Salary]]="N/A",AVERAGEIF(Table13[Department],Table13[[#This Row],[Department]],Table13[Salary]),Table13[[#This Row],[Salary]])</f>
        <v>73602</v>
      </c>
      <c r="G19" s="10">
        <v>42134</v>
      </c>
      <c r="H19" s="10">
        <f>IF(Table13[[#This Row],[Date of Joining]]="",MEDIAN($G$2:$G$30),Table13[[#This Row],[Date of Joining]])</f>
        <v>42134</v>
      </c>
      <c r="J19" s="8">
        <f>IF(Table13[[#This Row],[Performance Rating]]="",AVERAGE(Table13[Performance Rating]),Table13[[#This Row],[Performance Rating]])</f>
        <v>2.879032258064516</v>
      </c>
      <c r="L19" t="s">
        <v>198</v>
      </c>
      <c r="M19" t="str">
        <f>IF(Table13[[#This Row],[Email]]="invalid_email","Unknown",Table13[[#This Row],[Email]])</f>
        <v>user96@example.com</v>
      </c>
    </row>
    <row r="20" spans="1:13" x14ac:dyDescent="0.3">
      <c r="A20" t="s">
        <v>28</v>
      </c>
      <c r="B20" t="s">
        <v>159</v>
      </c>
      <c r="D20" t="s">
        <v>174</v>
      </c>
      <c r="E20" s="3">
        <v>67531</v>
      </c>
      <c r="F20" s="3">
        <f>IF(Table13[[#This Row],[Salary]]="N/A",AVERAGEIF(Table13[Department],Table13[[#This Row],[Department]],Table13[Salary]),Table13[[#This Row],[Salary]])</f>
        <v>67531</v>
      </c>
      <c r="G20" s="10">
        <v>42141</v>
      </c>
      <c r="H20" s="10">
        <f>IF(Table13[[#This Row],[Date of Joining]]="",MEDIAN($G$2:$G$30),Table13[[#This Row],[Date of Joining]])</f>
        <v>42141</v>
      </c>
      <c r="I20" s="8">
        <v>5</v>
      </c>
      <c r="J20" s="8">
        <f>IF(Table13[[#This Row],[Performance Rating]]="",AVERAGE(Table13[Performance Rating]),Table13[[#This Row],[Performance Rating]])</f>
        <v>5</v>
      </c>
      <c r="K20" t="s">
        <v>181</v>
      </c>
      <c r="L20" t="s">
        <v>199</v>
      </c>
      <c r="M20" t="str">
        <f>IF(Table13[[#This Row],[Email]]="invalid_email","Unknown",Table13[[#This Row],[Email]])</f>
        <v>user151@example.com</v>
      </c>
    </row>
    <row r="21" spans="1:13" x14ac:dyDescent="0.3">
      <c r="A21" t="s">
        <v>29</v>
      </c>
      <c r="B21" t="s">
        <v>162</v>
      </c>
      <c r="C21" t="s">
        <v>167</v>
      </c>
      <c r="D21" t="s">
        <v>173</v>
      </c>
      <c r="E21" s="3" t="s">
        <v>177</v>
      </c>
      <c r="F21" s="3">
        <f>IF(Table13[[#This Row],[Salary]]="N/A",AVERAGEIF(Table13[Department],Table13[[#This Row],[Department]],Table13[Salary]),Table13[[#This Row],[Salary]])</f>
        <v>67834.565217391311</v>
      </c>
      <c r="G21" s="10">
        <v>42148</v>
      </c>
      <c r="H21" s="10">
        <f>IF(Table13[[#This Row],[Date of Joining]]="",MEDIAN($G$2:$G$30),Table13[[#This Row],[Date of Joining]])</f>
        <v>42148</v>
      </c>
      <c r="I21" s="8">
        <v>2</v>
      </c>
      <c r="J21" s="8">
        <f>IF(Table13[[#This Row],[Performance Rating]]="",AVERAGE(Table13[Performance Rating]),Table13[[#This Row],[Performance Rating]])</f>
        <v>2</v>
      </c>
      <c r="K21" t="s">
        <v>179</v>
      </c>
      <c r="L21" t="s">
        <v>200</v>
      </c>
      <c r="M21" t="str">
        <f>IF(Table13[[#This Row],[Email]]="invalid_email","Unknown",Table13[[#This Row],[Email]])</f>
        <v>user200@example.com</v>
      </c>
    </row>
    <row r="22" spans="1:13" x14ac:dyDescent="0.3">
      <c r="A22" t="s">
        <v>30</v>
      </c>
      <c r="B22" t="s">
        <v>162</v>
      </c>
      <c r="C22" t="s">
        <v>167</v>
      </c>
      <c r="E22" s="3">
        <v>98922</v>
      </c>
      <c r="F22" s="3">
        <f>IF(Table13[[#This Row],[Salary]]="N/A",AVERAGEIF(Table13[Department],Table13[[#This Row],[Department]],Table13[Salary]),Table13[[#This Row],[Salary]])</f>
        <v>98922</v>
      </c>
      <c r="G22" s="10">
        <v>42155</v>
      </c>
      <c r="H22" s="10">
        <f>IF(Table13[[#This Row],[Date of Joining]]="",MEDIAN($G$2:$G$30),Table13[[#This Row],[Date of Joining]])</f>
        <v>42155</v>
      </c>
      <c r="I22" s="8">
        <v>4</v>
      </c>
      <c r="J22" s="8">
        <f>IF(Table13[[#This Row],[Performance Rating]]="",AVERAGE(Table13[Performance Rating]),Table13[[#This Row],[Performance Rating]])</f>
        <v>4</v>
      </c>
      <c r="L22" t="s">
        <v>201</v>
      </c>
      <c r="M22" t="str">
        <f>IF(Table13[[#This Row],[Email]]="invalid_email","Unknown",Table13[[#This Row],[Email]])</f>
        <v>user77@example.com</v>
      </c>
    </row>
    <row r="23" spans="1:13" x14ac:dyDescent="0.3">
      <c r="A23" t="s">
        <v>31</v>
      </c>
      <c r="B23" t="s">
        <v>159</v>
      </c>
      <c r="C23" t="s">
        <v>166</v>
      </c>
      <c r="D23" t="s">
        <v>174</v>
      </c>
      <c r="E23" s="3">
        <v>38333</v>
      </c>
      <c r="F23" s="3">
        <f>IF(Table13[[#This Row],[Salary]]="N/A",AVERAGEIF(Table13[Department],Table13[[#This Row],[Department]],Table13[Salary]),Table13[[#This Row],[Salary]])</f>
        <v>38333</v>
      </c>
      <c r="G23" s="10">
        <v>42162</v>
      </c>
      <c r="H23" s="10">
        <f>IF(Table13[[#This Row],[Date of Joining]]="",MEDIAN($G$2:$G$30),Table13[[#This Row],[Date of Joining]])</f>
        <v>42162</v>
      </c>
      <c r="I23" s="8">
        <v>5</v>
      </c>
      <c r="J23" s="8">
        <f>IF(Table13[[#This Row],[Performance Rating]]="",AVERAGE(Table13[Performance Rating]),Table13[[#This Row],[Performance Rating]])</f>
        <v>5</v>
      </c>
      <c r="L23" t="s">
        <v>202</v>
      </c>
      <c r="M23" t="str">
        <f>IF(Table13[[#This Row],[Email]]="invalid_email","Unknown",Table13[[#This Row],[Email]])</f>
        <v>user128@example.com</v>
      </c>
    </row>
    <row r="24" spans="1:13" x14ac:dyDescent="0.3">
      <c r="A24" t="s">
        <v>32</v>
      </c>
      <c r="B24" t="s">
        <v>160</v>
      </c>
      <c r="C24" t="s">
        <v>170</v>
      </c>
      <c r="D24" t="s">
        <v>175</v>
      </c>
      <c r="E24" s="3">
        <v>36515</v>
      </c>
      <c r="F24" s="3">
        <f>IF(Table13[[#This Row],[Salary]]="N/A",AVERAGEIF(Table13[Department],Table13[[#This Row],[Department]],Table13[Salary]),Table13[[#This Row],[Salary]])</f>
        <v>36515</v>
      </c>
      <c r="G24" s="10">
        <v>42169</v>
      </c>
      <c r="H24" s="10">
        <f>IF(Table13[[#This Row],[Date of Joining]]="",MEDIAN($G$2:$G$30),Table13[[#This Row],[Date of Joining]])</f>
        <v>42169</v>
      </c>
      <c r="I24" s="8">
        <v>3</v>
      </c>
      <c r="J24" s="8">
        <f>IF(Table13[[#This Row],[Performance Rating]]="",AVERAGE(Table13[Performance Rating]),Table13[[#This Row],[Performance Rating]])</f>
        <v>3</v>
      </c>
      <c r="K24" t="s">
        <v>180</v>
      </c>
      <c r="L24" t="s">
        <v>203</v>
      </c>
      <c r="M24" t="str">
        <f>IF(Table13[[#This Row],[Email]]="invalid_email","Unknown",Table13[[#This Row],[Email]])</f>
        <v>user149@example.com</v>
      </c>
    </row>
    <row r="25" spans="1:13" x14ac:dyDescent="0.3">
      <c r="A25" t="s">
        <v>33</v>
      </c>
      <c r="B25" t="s">
        <v>163</v>
      </c>
      <c r="C25" t="s">
        <v>166</v>
      </c>
      <c r="E25" s="3">
        <v>91005</v>
      </c>
      <c r="F25" s="3">
        <f>IF(Table13[[#This Row],[Salary]]="N/A",AVERAGEIF(Table13[Department],Table13[[#This Row],[Department]],Table13[Salary]),Table13[[#This Row],[Salary]])</f>
        <v>91005</v>
      </c>
      <c r="G25" s="10">
        <v>42176</v>
      </c>
      <c r="H25" s="10">
        <f>IF(Table13[[#This Row],[Date of Joining]]="",MEDIAN($G$2:$G$30),Table13[[#This Row],[Date of Joining]])</f>
        <v>42176</v>
      </c>
      <c r="I25" s="8">
        <v>1</v>
      </c>
      <c r="J25" s="8">
        <f>IF(Table13[[#This Row],[Performance Rating]]="",AVERAGE(Table13[Performance Rating]),Table13[[#This Row],[Performance Rating]])</f>
        <v>1</v>
      </c>
      <c r="K25" t="s">
        <v>179</v>
      </c>
      <c r="L25" t="s">
        <v>204</v>
      </c>
      <c r="M25" t="str">
        <f>IF(Table13[[#This Row],[Email]]="invalid_email","Unknown",Table13[[#This Row],[Email]])</f>
        <v>user122@example.com</v>
      </c>
    </row>
    <row r="26" spans="1:13" x14ac:dyDescent="0.3">
      <c r="A26" t="s">
        <v>34</v>
      </c>
      <c r="B26" t="s">
        <v>164</v>
      </c>
      <c r="D26" t="s">
        <v>171</v>
      </c>
      <c r="E26" s="3">
        <v>52272</v>
      </c>
      <c r="F26" s="3">
        <f>IF(Table13[[#This Row],[Salary]]="N/A",AVERAGEIF(Table13[Department],Table13[[#This Row],[Department]],Table13[Salary]),Table13[[#This Row],[Salary]])</f>
        <v>52272</v>
      </c>
      <c r="G26" s="10">
        <v>42183</v>
      </c>
      <c r="H26" s="10">
        <f>IF(Table13[[#This Row],[Date of Joining]]="",MEDIAN($G$2:$G$30),Table13[[#This Row],[Date of Joining]])</f>
        <v>42183</v>
      </c>
      <c r="I26" s="8">
        <v>3</v>
      </c>
      <c r="J26" s="8">
        <f>IF(Table13[[#This Row],[Performance Rating]]="",AVERAGE(Table13[Performance Rating]),Table13[[#This Row],[Performance Rating]])</f>
        <v>3</v>
      </c>
      <c r="L26" t="s">
        <v>205</v>
      </c>
      <c r="M26" t="str">
        <f>IF(Table13[[#This Row],[Email]]="invalid_email","Unknown",Table13[[#This Row],[Email]])</f>
        <v>user41@example.com</v>
      </c>
    </row>
    <row r="27" spans="1:13" x14ac:dyDescent="0.3">
      <c r="A27" t="s">
        <v>35</v>
      </c>
      <c r="B27" t="s">
        <v>159</v>
      </c>
      <c r="C27" t="s">
        <v>168</v>
      </c>
      <c r="D27" t="s">
        <v>172</v>
      </c>
      <c r="E27" s="3">
        <v>76518</v>
      </c>
      <c r="F27" s="3">
        <f>IF(Table13[[#This Row],[Salary]]="N/A",AVERAGEIF(Table13[Department],Table13[[#This Row],[Department]],Table13[Salary]),Table13[[#This Row],[Salary]])</f>
        <v>76518</v>
      </c>
      <c r="G27" s="10">
        <v>42190</v>
      </c>
      <c r="H27" s="10">
        <f>IF(Table13[[#This Row],[Date of Joining]]="",MEDIAN($G$2:$G$30),Table13[[#This Row],[Date of Joining]])</f>
        <v>42190</v>
      </c>
      <c r="I27" s="8">
        <v>2</v>
      </c>
      <c r="J27" s="8">
        <f>IF(Table13[[#This Row],[Performance Rating]]="",AVERAGE(Table13[Performance Rating]),Table13[[#This Row],[Performance Rating]])</f>
        <v>2</v>
      </c>
      <c r="K27" t="s">
        <v>181</v>
      </c>
      <c r="L27" t="s">
        <v>206</v>
      </c>
      <c r="M27" t="str">
        <f>IF(Table13[[#This Row],[Email]]="invalid_email","Unknown",Table13[[#This Row],[Email]])</f>
        <v>user68@example.com</v>
      </c>
    </row>
    <row r="28" spans="1:13" x14ac:dyDescent="0.3">
      <c r="A28" t="s">
        <v>36</v>
      </c>
      <c r="B28" t="s">
        <v>160</v>
      </c>
      <c r="C28" t="s">
        <v>169</v>
      </c>
      <c r="D28" t="s">
        <v>175</v>
      </c>
      <c r="E28" s="3">
        <v>41448</v>
      </c>
      <c r="F28" s="3">
        <f>IF(Table13[[#This Row],[Salary]]="N/A",AVERAGEIF(Table13[Department],Table13[[#This Row],[Department]],Table13[Salary]),Table13[[#This Row],[Salary]])</f>
        <v>41448</v>
      </c>
      <c r="G28" s="10">
        <v>42197</v>
      </c>
      <c r="H28" s="10">
        <f>IF(Table13[[#This Row],[Date of Joining]]="",MEDIAN($G$2:$G$30),Table13[[#This Row],[Date of Joining]])</f>
        <v>42197</v>
      </c>
      <c r="I28" s="8">
        <v>3</v>
      </c>
      <c r="J28" s="8">
        <f>IF(Table13[[#This Row],[Performance Rating]]="",AVERAGE(Table13[Performance Rating]),Table13[[#This Row],[Performance Rating]])</f>
        <v>3</v>
      </c>
      <c r="K28" t="s">
        <v>179</v>
      </c>
      <c r="L28" t="s">
        <v>207</v>
      </c>
      <c r="M28" t="str">
        <f>IF(Table13[[#This Row],[Email]]="invalid_email","Unknown",Table13[[#This Row],[Email]])</f>
        <v>user103@example.com</v>
      </c>
    </row>
    <row r="29" spans="1:13" x14ac:dyDescent="0.3">
      <c r="A29" t="s">
        <v>37</v>
      </c>
      <c r="B29" t="s">
        <v>161</v>
      </c>
      <c r="C29" t="s">
        <v>167</v>
      </c>
      <c r="D29" t="s">
        <v>175</v>
      </c>
      <c r="E29" s="3">
        <v>49282</v>
      </c>
      <c r="F29" s="3">
        <f>IF(Table13[[#This Row],[Salary]]="N/A",AVERAGEIF(Table13[Department],Table13[[#This Row],[Department]],Table13[Salary]),Table13[[#This Row],[Salary]])</f>
        <v>49282</v>
      </c>
      <c r="G29" s="10">
        <v>42204</v>
      </c>
      <c r="H29" s="10">
        <f>IF(Table13[[#This Row],[Date of Joining]]="",MEDIAN($G$2:$G$30),Table13[[#This Row],[Date of Joining]])</f>
        <v>42204</v>
      </c>
      <c r="I29" s="8">
        <v>2</v>
      </c>
      <c r="J29" s="8">
        <f>IF(Table13[[#This Row],[Performance Rating]]="",AVERAGE(Table13[Performance Rating]),Table13[[#This Row],[Performance Rating]])</f>
        <v>2</v>
      </c>
      <c r="K29" t="s">
        <v>181</v>
      </c>
      <c r="L29" t="s">
        <v>208</v>
      </c>
      <c r="M29" t="str">
        <f>IF(Table13[[#This Row],[Email]]="invalid_email","Unknown",Table13[[#This Row],[Email]])</f>
        <v>user135@example.com</v>
      </c>
    </row>
    <row r="30" spans="1:13" x14ac:dyDescent="0.3">
      <c r="A30" t="s">
        <v>38</v>
      </c>
      <c r="B30" t="s">
        <v>165</v>
      </c>
      <c r="C30" t="s">
        <v>170</v>
      </c>
      <c r="D30" t="s">
        <v>175</v>
      </c>
      <c r="E30" s="3">
        <v>92959</v>
      </c>
      <c r="F30" s="3">
        <f>IF(Table13[[#This Row],[Salary]]="N/A",AVERAGEIF(Table13[Department],Table13[[#This Row],[Department]],Table13[Salary]),Table13[[#This Row],[Salary]])</f>
        <v>92959</v>
      </c>
      <c r="G30" s="10">
        <v>42211</v>
      </c>
      <c r="H30" s="10">
        <f>IF(Table13[[#This Row],[Date of Joining]]="",MEDIAN($G$2:$G$30),Table13[[#This Row],[Date of Joining]])</f>
        <v>42211</v>
      </c>
      <c r="I30" s="8">
        <v>5</v>
      </c>
      <c r="J30" s="8">
        <f>IF(Table13[[#This Row],[Performance Rating]]="",AVERAGE(Table13[Performance Rating]),Table13[[#This Row],[Performance Rating]])</f>
        <v>5</v>
      </c>
      <c r="L30" t="s">
        <v>209</v>
      </c>
      <c r="M30" t="str">
        <f>IF(Table13[[#This Row],[Email]]="invalid_email","Unknown",Table13[[#This Row],[Email]])</f>
        <v>user83@example.com</v>
      </c>
    </row>
    <row r="31" spans="1:13" x14ac:dyDescent="0.3">
      <c r="A31" t="s">
        <v>39</v>
      </c>
      <c r="B31" t="s">
        <v>178</v>
      </c>
      <c r="C31" t="s">
        <v>170</v>
      </c>
      <c r="E31" s="3">
        <v>92259</v>
      </c>
      <c r="F31" s="3">
        <f>IF(Table13[[#This Row],[Salary]]="N/A",AVERAGEIF(Table13[Department],Table13[[#This Row],[Department]],Table13[Salary]),Table13[[#This Row],[Salary]])</f>
        <v>92259</v>
      </c>
      <c r="H31" s="10">
        <f>IF(Table13[[#This Row],[Date of Joining]]="",MEDIAN($G$2:$G$30),Table13[[#This Row],[Date of Joining]])</f>
        <v>42113</v>
      </c>
      <c r="I31" s="8">
        <v>1</v>
      </c>
      <c r="J31" s="8">
        <f>IF(Table13[[#This Row],[Performance Rating]]="",AVERAGE(Table13[Performance Rating]),Table13[[#This Row],[Performance Rating]])</f>
        <v>1</v>
      </c>
      <c r="K31" t="s">
        <v>178</v>
      </c>
      <c r="L31" t="s">
        <v>210</v>
      </c>
      <c r="M31" t="str">
        <f>IF(Table13[[#This Row],[Email]]="invalid_email","Unknown",Table13[[#This Row],[Email]])</f>
        <v>user109@example.com</v>
      </c>
    </row>
    <row r="32" spans="1:13" x14ac:dyDescent="0.3">
      <c r="A32" t="s">
        <v>40</v>
      </c>
      <c r="B32" t="s">
        <v>159</v>
      </c>
      <c r="C32" t="s">
        <v>167</v>
      </c>
      <c r="D32" t="s">
        <v>172</v>
      </c>
      <c r="E32" s="3">
        <v>92299</v>
      </c>
      <c r="F32" s="3">
        <f>IF(Table13[[#This Row],[Salary]]="N/A",AVERAGEIF(Table13[Department],Table13[[#This Row],[Department]],Table13[Salary]),Table13[[#This Row],[Salary]])</f>
        <v>92299</v>
      </c>
      <c r="G32" s="10">
        <v>42225</v>
      </c>
      <c r="H32" s="10">
        <f>IF(Table13[[#This Row],[Date of Joining]]="",MEDIAN($G$2:$G$30),Table13[[#This Row],[Date of Joining]])</f>
        <v>42225</v>
      </c>
      <c r="I32" s="8">
        <v>3</v>
      </c>
      <c r="J32" s="8">
        <f>IF(Table13[[#This Row],[Performance Rating]]="",AVERAGE(Table13[Performance Rating]),Table13[[#This Row],[Performance Rating]])</f>
        <v>3</v>
      </c>
      <c r="K32" t="s">
        <v>180</v>
      </c>
      <c r="L32" t="s">
        <v>211</v>
      </c>
      <c r="M32" t="str">
        <f>IF(Table13[[#This Row],[Email]]="invalid_email","Unknown",Table13[[#This Row],[Email]])</f>
        <v>user143@example.com</v>
      </c>
    </row>
    <row r="33" spans="1:13" x14ac:dyDescent="0.3">
      <c r="A33" t="s">
        <v>41</v>
      </c>
      <c r="B33" t="s">
        <v>163</v>
      </c>
      <c r="C33" t="s">
        <v>167</v>
      </c>
      <c r="E33" s="3">
        <v>95586</v>
      </c>
      <c r="F33" s="3">
        <f>IF(Table13[[#This Row],[Salary]]="N/A",AVERAGEIF(Table13[Department],Table13[[#This Row],[Department]],Table13[Salary]),Table13[[#This Row],[Salary]])</f>
        <v>95586</v>
      </c>
      <c r="G33" s="10">
        <v>42232</v>
      </c>
      <c r="H33" s="10">
        <f>IF(Table13[[#This Row],[Date of Joining]]="",MEDIAN($G$2:$G$30),Table13[[#This Row],[Date of Joining]])</f>
        <v>42232</v>
      </c>
      <c r="I33" s="8">
        <v>3</v>
      </c>
      <c r="J33" s="8">
        <f>IF(Table13[[#This Row],[Performance Rating]]="",AVERAGE(Table13[Performance Rating]),Table13[[#This Row],[Performance Rating]])</f>
        <v>3</v>
      </c>
      <c r="K33" t="s">
        <v>179</v>
      </c>
      <c r="L33" t="s">
        <v>212</v>
      </c>
      <c r="M33" t="str">
        <f>IF(Table13[[#This Row],[Email]]="invalid_email","Unknown",Table13[[#This Row],[Email]])</f>
        <v>user190@example.com</v>
      </c>
    </row>
    <row r="34" spans="1:13" x14ac:dyDescent="0.3">
      <c r="A34" t="s">
        <v>42</v>
      </c>
      <c r="B34" t="s">
        <v>164</v>
      </c>
      <c r="D34" t="s">
        <v>173</v>
      </c>
      <c r="E34" s="3">
        <v>95367</v>
      </c>
      <c r="F34" s="3">
        <f>IF(Table13[[#This Row],[Salary]]="N/A",AVERAGEIF(Table13[Department],Table13[[#This Row],[Department]],Table13[Salary]),Table13[[#This Row],[Salary]])</f>
        <v>95367</v>
      </c>
      <c r="G34" s="10">
        <v>42239</v>
      </c>
      <c r="H34" s="10">
        <f>IF(Table13[[#This Row],[Date of Joining]]="",MEDIAN($G$2:$G$30),Table13[[#This Row],[Date of Joining]])</f>
        <v>42239</v>
      </c>
      <c r="J34" s="8">
        <f>IF(Table13[[#This Row],[Performance Rating]]="",AVERAGE(Table13[Performance Rating]),Table13[[#This Row],[Performance Rating]])</f>
        <v>2.879032258064516</v>
      </c>
      <c r="K34" t="s">
        <v>180</v>
      </c>
      <c r="L34" t="s">
        <v>213</v>
      </c>
      <c r="M34" t="str">
        <f>IF(Table13[[#This Row],[Email]]="invalid_email","Unknown",Table13[[#This Row],[Email]])</f>
        <v>user136@example.com</v>
      </c>
    </row>
    <row r="35" spans="1:13" x14ac:dyDescent="0.3">
      <c r="A35" t="s">
        <v>43</v>
      </c>
      <c r="B35" t="s">
        <v>161</v>
      </c>
      <c r="C35" t="s">
        <v>168</v>
      </c>
      <c r="D35" t="s">
        <v>176</v>
      </c>
      <c r="E35" s="3">
        <v>79549</v>
      </c>
      <c r="F35" s="3">
        <f>IF(Table13[[#This Row],[Salary]]="N/A",AVERAGEIF(Table13[Department],Table13[[#This Row],[Department]],Table13[Salary]),Table13[[#This Row],[Salary]])</f>
        <v>79549</v>
      </c>
      <c r="G35" s="10">
        <v>42246</v>
      </c>
      <c r="H35" s="10">
        <f>IF(Table13[[#This Row],[Date of Joining]]="",MEDIAN($G$2:$G$30),Table13[[#This Row],[Date of Joining]])</f>
        <v>42246</v>
      </c>
      <c r="I35" s="8">
        <v>3</v>
      </c>
      <c r="J35" s="8">
        <f>IF(Table13[[#This Row],[Performance Rating]]="",AVERAGE(Table13[Performance Rating]),Table13[[#This Row],[Performance Rating]])</f>
        <v>3</v>
      </c>
      <c r="L35" t="s">
        <v>214</v>
      </c>
      <c r="M35" t="str">
        <f>IF(Table13[[#This Row],[Email]]="invalid_email","Unknown",Table13[[#This Row],[Email]])</f>
        <v>user198@example.com</v>
      </c>
    </row>
    <row r="36" spans="1:13" x14ac:dyDescent="0.3">
      <c r="A36" t="s">
        <v>44</v>
      </c>
      <c r="B36" t="s">
        <v>160</v>
      </c>
      <c r="D36" t="s">
        <v>175</v>
      </c>
      <c r="E36" s="3">
        <v>54463</v>
      </c>
      <c r="F36" s="3">
        <f>IF(Table13[[#This Row],[Salary]]="N/A",AVERAGEIF(Table13[Department],Table13[[#This Row],[Department]],Table13[Salary]),Table13[[#This Row],[Salary]])</f>
        <v>54463</v>
      </c>
      <c r="G36" s="10">
        <v>42253</v>
      </c>
      <c r="H36" s="10">
        <f>IF(Table13[[#This Row],[Date of Joining]]="",MEDIAN($G$2:$G$30),Table13[[#This Row],[Date of Joining]])</f>
        <v>42253</v>
      </c>
      <c r="I36" s="8">
        <v>4</v>
      </c>
      <c r="J36" s="8">
        <f>IF(Table13[[#This Row],[Performance Rating]]="",AVERAGE(Table13[Performance Rating]),Table13[[#This Row],[Performance Rating]])</f>
        <v>4</v>
      </c>
      <c r="K36" t="s">
        <v>180</v>
      </c>
      <c r="L36" t="s">
        <v>182</v>
      </c>
      <c r="M36" t="str">
        <f>IF(Table13[[#This Row],[Email]]="invalid_email","Unknown",Table13[[#This Row],[Email]])</f>
        <v>Unknown</v>
      </c>
    </row>
    <row r="37" spans="1:13" x14ac:dyDescent="0.3">
      <c r="A37" t="s">
        <v>45</v>
      </c>
      <c r="B37" t="s">
        <v>160</v>
      </c>
      <c r="C37" t="s">
        <v>169</v>
      </c>
      <c r="D37" t="s">
        <v>173</v>
      </c>
      <c r="E37" s="3">
        <v>89781</v>
      </c>
      <c r="F37" s="3">
        <f>IF(Table13[[#This Row],[Salary]]="N/A",AVERAGEIF(Table13[Department],Table13[[#This Row],[Department]],Table13[Salary]),Table13[[#This Row],[Salary]])</f>
        <v>89781</v>
      </c>
      <c r="G37" s="10">
        <v>42260</v>
      </c>
      <c r="H37" s="10">
        <f>IF(Table13[[#This Row],[Date of Joining]]="",MEDIAN($G$2:$G$30),Table13[[#This Row],[Date of Joining]])</f>
        <v>42260</v>
      </c>
      <c r="J37" s="8">
        <f>IF(Table13[[#This Row],[Performance Rating]]="",AVERAGE(Table13[Performance Rating]),Table13[[#This Row],[Performance Rating]])</f>
        <v>2.879032258064516</v>
      </c>
      <c r="K37" t="s">
        <v>181</v>
      </c>
      <c r="L37" t="s">
        <v>215</v>
      </c>
      <c r="M37" t="str">
        <f>IF(Table13[[#This Row],[Email]]="invalid_email","Unknown",Table13[[#This Row],[Email]])</f>
        <v>user31@example.com</v>
      </c>
    </row>
    <row r="38" spans="1:13" x14ac:dyDescent="0.3">
      <c r="A38" t="s">
        <v>46</v>
      </c>
      <c r="B38" t="s">
        <v>160</v>
      </c>
      <c r="C38" t="s">
        <v>167</v>
      </c>
      <c r="E38" s="3">
        <v>64796</v>
      </c>
      <c r="F38" s="3">
        <f>IF(Table13[[#This Row],[Salary]]="N/A",AVERAGEIF(Table13[Department],Table13[[#This Row],[Department]],Table13[Salary]),Table13[[#This Row],[Salary]])</f>
        <v>64796</v>
      </c>
      <c r="G38" s="10">
        <v>42267</v>
      </c>
      <c r="H38" s="10">
        <f>IF(Table13[[#This Row],[Date of Joining]]="",MEDIAN($G$2:$G$30),Table13[[#This Row],[Date of Joining]])</f>
        <v>42267</v>
      </c>
      <c r="J38" s="8">
        <f>IF(Table13[[#This Row],[Performance Rating]]="",AVERAGE(Table13[Performance Rating]),Table13[[#This Row],[Performance Rating]])</f>
        <v>2.879032258064516</v>
      </c>
      <c r="K38" t="s">
        <v>179</v>
      </c>
      <c r="L38" t="s">
        <v>216</v>
      </c>
      <c r="M38" t="str">
        <f>IF(Table13[[#This Row],[Email]]="invalid_email","Unknown",Table13[[#This Row],[Email]])</f>
        <v>user98@example.com</v>
      </c>
    </row>
    <row r="39" spans="1:13" x14ac:dyDescent="0.3">
      <c r="A39" t="s">
        <v>47</v>
      </c>
      <c r="B39" t="s">
        <v>161</v>
      </c>
      <c r="C39" t="s">
        <v>170</v>
      </c>
      <c r="D39" t="s">
        <v>175</v>
      </c>
      <c r="E39" s="3">
        <v>52093</v>
      </c>
      <c r="F39" s="3">
        <f>IF(Table13[[#This Row],[Salary]]="N/A",AVERAGEIF(Table13[Department],Table13[[#This Row],[Department]],Table13[Salary]),Table13[[#This Row],[Salary]])</f>
        <v>52093</v>
      </c>
      <c r="G39" s="10">
        <v>42274</v>
      </c>
      <c r="H39" s="10">
        <f>IF(Table13[[#This Row],[Date of Joining]]="",MEDIAN($G$2:$G$30),Table13[[#This Row],[Date of Joining]])</f>
        <v>42274</v>
      </c>
      <c r="I39" s="8">
        <v>5</v>
      </c>
      <c r="J39" s="8">
        <f>IF(Table13[[#This Row],[Performance Rating]]="",AVERAGE(Table13[Performance Rating]),Table13[[#This Row],[Performance Rating]])</f>
        <v>5</v>
      </c>
      <c r="L39" t="s">
        <v>217</v>
      </c>
      <c r="M39" t="str">
        <f>IF(Table13[[#This Row],[Email]]="invalid_email","Unknown",Table13[[#This Row],[Email]])</f>
        <v>user154@example.com</v>
      </c>
    </row>
    <row r="40" spans="1:13" x14ac:dyDescent="0.3">
      <c r="A40" t="s">
        <v>48</v>
      </c>
      <c r="B40" t="s">
        <v>164</v>
      </c>
      <c r="C40" t="s">
        <v>167</v>
      </c>
      <c r="D40" t="s">
        <v>175</v>
      </c>
      <c r="E40" s="3">
        <v>48224</v>
      </c>
      <c r="F40" s="3">
        <f>IF(Table13[[#This Row],[Salary]]="N/A",AVERAGEIF(Table13[Department],Table13[[#This Row],[Department]],Table13[Salary]),Table13[[#This Row],[Salary]])</f>
        <v>48224</v>
      </c>
      <c r="G40" s="10">
        <v>42281</v>
      </c>
      <c r="H40" s="10">
        <f>IF(Table13[[#This Row],[Date of Joining]]="",MEDIAN($G$2:$G$30),Table13[[#This Row],[Date of Joining]])</f>
        <v>42281</v>
      </c>
      <c r="I40" s="8">
        <v>3</v>
      </c>
      <c r="J40" s="8">
        <f>IF(Table13[[#This Row],[Performance Rating]]="",AVERAGE(Table13[Performance Rating]),Table13[[#This Row],[Performance Rating]])</f>
        <v>3</v>
      </c>
      <c r="L40" t="s">
        <v>218</v>
      </c>
      <c r="M40" t="str">
        <f>IF(Table13[[#This Row],[Email]]="invalid_email","Unknown",Table13[[#This Row],[Email]])</f>
        <v>user42@example.com</v>
      </c>
    </row>
    <row r="41" spans="1:13" x14ac:dyDescent="0.3">
      <c r="A41" t="s">
        <v>49</v>
      </c>
      <c r="B41" t="s">
        <v>165</v>
      </c>
      <c r="C41" t="s">
        <v>166</v>
      </c>
      <c r="D41" t="s">
        <v>175</v>
      </c>
      <c r="E41" s="3" t="s">
        <v>177</v>
      </c>
      <c r="F41" s="3">
        <f>IF(Table13[[#This Row],[Salary]]="N/A",AVERAGEIF(Table13[Department],Table13[[#This Row],[Department]],Table13[Salary]),Table13[[#This Row],[Salary]])</f>
        <v>65604.55</v>
      </c>
      <c r="H41" s="10">
        <f>IF(Table13[[#This Row],[Date of Joining]]="",MEDIAN($G$2:$G$30),Table13[[#This Row],[Date of Joining]])</f>
        <v>42113</v>
      </c>
      <c r="I41" s="8">
        <v>4</v>
      </c>
      <c r="J41" s="8">
        <f>IF(Table13[[#This Row],[Performance Rating]]="",AVERAGE(Table13[Performance Rating]),Table13[[#This Row],[Performance Rating]])</f>
        <v>4</v>
      </c>
      <c r="K41" t="s">
        <v>181</v>
      </c>
      <c r="L41" t="s">
        <v>219</v>
      </c>
      <c r="M41" t="str">
        <f>IF(Table13[[#This Row],[Email]]="invalid_email","Unknown",Table13[[#This Row],[Email]])</f>
        <v>user89@example.com</v>
      </c>
    </row>
    <row r="42" spans="1:13" x14ac:dyDescent="0.3">
      <c r="A42" t="s">
        <v>50</v>
      </c>
      <c r="B42" t="s">
        <v>160</v>
      </c>
      <c r="C42" t="s">
        <v>169</v>
      </c>
      <c r="D42" t="s">
        <v>172</v>
      </c>
      <c r="E42" s="3">
        <v>33956</v>
      </c>
      <c r="F42" s="3">
        <f>IF(Table13[[#This Row],[Salary]]="N/A",AVERAGEIF(Table13[Department],Table13[[#This Row],[Department]],Table13[Salary]),Table13[[#This Row],[Salary]])</f>
        <v>33956</v>
      </c>
      <c r="G42" s="10">
        <v>42295</v>
      </c>
      <c r="H42" s="10">
        <f>IF(Table13[[#This Row],[Date of Joining]]="",MEDIAN($G$2:$G$30),Table13[[#This Row],[Date of Joining]])</f>
        <v>42295</v>
      </c>
      <c r="J42" s="8">
        <f>IF(Table13[[#This Row],[Performance Rating]]="",AVERAGE(Table13[Performance Rating]),Table13[[#This Row],[Performance Rating]])</f>
        <v>2.879032258064516</v>
      </c>
      <c r="L42" t="s">
        <v>220</v>
      </c>
      <c r="M42" t="str">
        <f>IF(Table13[[#This Row],[Email]]="invalid_email","Unknown",Table13[[#This Row],[Email]])</f>
        <v>user47@example.com</v>
      </c>
    </row>
    <row r="43" spans="1:13" x14ac:dyDescent="0.3">
      <c r="A43" t="s">
        <v>51</v>
      </c>
      <c r="B43" t="s">
        <v>165</v>
      </c>
      <c r="D43" t="s">
        <v>176</v>
      </c>
      <c r="E43" s="3">
        <v>64913</v>
      </c>
      <c r="F43" s="3">
        <f>IF(Table13[[#This Row],[Salary]]="N/A",AVERAGEIF(Table13[Department],Table13[[#This Row],[Department]],Table13[Salary]),Table13[[#This Row],[Salary]])</f>
        <v>64913</v>
      </c>
      <c r="G43" s="10">
        <v>42302</v>
      </c>
      <c r="H43" s="10">
        <f>IF(Table13[[#This Row],[Date of Joining]]="",MEDIAN($G$2:$G$30),Table13[[#This Row],[Date of Joining]])</f>
        <v>42302</v>
      </c>
      <c r="I43" s="8">
        <v>1</v>
      </c>
      <c r="J43" s="8">
        <f>IF(Table13[[#This Row],[Performance Rating]]="",AVERAGE(Table13[Performance Rating]),Table13[[#This Row],[Performance Rating]])</f>
        <v>1</v>
      </c>
      <c r="K43" t="s">
        <v>181</v>
      </c>
      <c r="L43" t="s">
        <v>221</v>
      </c>
      <c r="M43" t="str">
        <f>IF(Table13[[#This Row],[Email]]="invalid_email","Unknown",Table13[[#This Row],[Email]])</f>
        <v>user175@example.com</v>
      </c>
    </row>
    <row r="44" spans="1:13" x14ac:dyDescent="0.3">
      <c r="A44" t="s">
        <v>52</v>
      </c>
      <c r="B44" t="s">
        <v>160</v>
      </c>
      <c r="C44" t="s">
        <v>170</v>
      </c>
      <c r="D44" t="s">
        <v>176</v>
      </c>
      <c r="E44" s="3">
        <v>35326</v>
      </c>
      <c r="F44" s="3">
        <f>IF(Table13[[#This Row],[Salary]]="N/A",AVERAGEIF(Table13[Department],Table13[[#This Row],[Department]],Table13[Salary]),Table13[[#This Row],[Salary]])</f>
        <v>35326</v>
      </c>
      <c r="G44" s="10">
        <v>42309</v>
      </c>
      <c r="H44" s="10">
        <f>IF(Table13[[#This Row],[Date of Joining]]="",MEDIAN($G$2:$G$30),Table13[[#This Row],[Date of Joining]])</f>
        <v>42309</v>
      </c>
      <c r="J44" s="8">
        <f>IF(Table13[[#This Row],[Performance Rating]]="",AVERAGE(Table13[Performance Rating]),Table13[[#This Row],[Performance Rating]])</f>
        <v>2.879032258064516</v>
      </c>
      <c r="K44" t="s">
        <v>181</v>
      </c>
      <c r="L44" t="s">
        <v>222</v>
      </c>
      <c r="M44" t="str">
        <f>IF(Table13[[#This Row],[Email]]="invalid_email","Unknown",Table13[[#This Row],[Email]])</f>
        <v>user57@example.com</v>
      </c>
    </row>
    <row r="45" spans="1:13" x14ac:dyDescent="0.3">
      <c r="A45" t="s">
        <v>53</v>
      </c>
      <c r="B45" t="s">
        <v>164</v>
      </c>
      <c r="C45" t="s">
        <v>166</v>
      </c>
      <c r="E45" s="3">
        <v>81610</v>
      </c>
      <c r="F45" s="3">
        <f>IF(Table13[[#This Row],[Salary]]="N/A",AVERAGEIF(Table13[Department],Table13[[#This Row],[Department]],Table13[Salary]),Table13[[#This Row],[Salary]])</f>
        <v>81610</v>
      </c>
      <c r="G45" s="10">
        <v>42316</v>
      </c>
      <c r="H45" s="10">
        <f>IF(Table13[[#This Row],[Date of Joining]]="",MEDIAN($G$2:$G$30),Table13[[#This Row],[Date of Joining]])</f>
        <v>42316</v>
      </c>
      <c r="I45" s="8">
        <v>1</v>
      </c>
      <c r="J45" s="8">
        <f>IF(Table13[[#This Row],[Performance Rating]]="",AVERAGE(Table13[Performance Rating]),Table13[[#This Row],[Performance Rating]])</f>
        <v>1</v>
      </c>
      <c r="L45" t="s">
        <v>223</v>
      </c>
      <c r="M45" t="str">
        <f>IF(Table13[[#This Row],[Email]]="invalid_email","Unknown",Table13[[#This Row],[Email]])</f>
        <v>user20@example.com</v>
      </c>
    </row>
    <row r="46" spans="1:13" x14ac:dyDescent="0.3">
      <c r="A46" t="s">
        <v>54</v>
      </c>
      <c r="B46" t="s">
        <v>178</v>
      </c>
      <c r="C46" t="s">
        <v>167</v>
      </c>
      <c r="E46" s="3">
        <v>58962</v>
      </c>
      <c r="F46" s="3">
        <f>IF(Table13[[#This Row],[Salary]]="N/A",AVERAGEIF(Table13[Department],Table13[[#This Row],[Department]],Table13[Salary]),Table13[[#This Row],[Salary]])</f>
        <v>58962</v>
      </c>
      <c r="G46" s="10">
        <v>42323</v>
      </c>
      <c r="H46" s="10">
        <f>IF(Table13[[#This Row],[Date of Joining]]="",MEDIAN($G$2:$G$30),Table13[[#This Row],[Date of Joining]])</f>
        <v>42323</v>
      </c>
      <c r="I46" s="8">
        <v>3</v>
      </c>
      <c r="J46" s="8">
        <f>IF(Table13[[#This Row],[Performance Rating]]="",AVERAGE(Table13[Performance Rating]),Table13[[#This Row],[Performance Rating]])</f>
        <v>3</v>
      </c>
      <c r="K46" t="s">
        <v>179</v>
      </c>
      <c r="L46" t="s">
        <v>183</v>
      </c>
      <c r="M46" t="str">
        <f>IF(Table13[[#This Row],[Email]]="invalid_email","Unknown",Table13[[#This Row],[Email]])</f>
        <v>user106@example.com</v>
      </c>
    </row>
    <row r="47" spans="1:13" x14ac:dyDescent="0.3">
      <c r="A47" t="s">
        <v>55</v>
      </c>
      <c r="B47" t="s">
        <v>164</v>
      </c>
      <c r="C47" t="s">
        <v>169</v>
      </c>
      <c r="D47" t="s">
        <v>172</v>
      </c>
      <c r="E47" s="3">
        <v>92701</v>
      </c>
      <c r="F47" s="3">
        <f>IF(Table13[[#This Row],[Salary]]="N/A",AVERAGEIF(Table13[Department],Table13[[#This Row],[Department]],Table13[Salary]),Table13[[#This Row],[Salary]])</f>
        <v>92701</v>
      </c>
      <c r="G47" s="10">
        <v>42330</v>
      </c>
      <c r="H47" s="10">
        <f>IF(Table13[[#This Row],[Date of Joining]]="",MEDIAN($G$2:$G$30),Table13[[#This Row],[Date of Joining]])</f>
        <v>42330</v>
      </c>
      <c r="I47" s="8">
        <v>3</v>
      </c>
      <c r="J47" s="8">
        <f>IF(Table13[[#This Row],[Performance Rating]]="",AVERAGE(Table13[Performance Rating]),Table13[[#This Row],[Performance Rating]])</f>
        <v>3</v>
      </c>
      <c r="K47" t="s">
        <v>179</v>
      </c>
      <c r="L47" t="s">
        <v>224</v>
      </c>
      <c r="M47" t="str">
        <f>IF(Table13[[#This Row],[Email]]="invalid_email","Unknown",Table13[[#This Row],[Email]])</f>
        <v>user199@example.com</v>
      </c>
    </row>
    <row r="48" spans="1:13" x14ac:dyDescent="0.3">
      <c r="A48" t="s">
        <v>56</v>
      </c>
      <c r="B48" t="s">
        <v>164</v>
      </c>
      <c r="C48" t="s">
        <v>167</v>
      </c>
      <c r="D48" t="s">
        <v>174</v>
      </c>
      <c r="E48" s="3">
        <v>58245</v>
      </c>
      <c r="F48" s="3">
        <f>IF(Table13[[#This Row],[Salary]]="N/A",AVERAGEIF(Table13[Department],Table13[[#This Row],[Department]],Table13[Salary]),Table13[[#This Row],[Salary]])</f>
        <v>58245</v>
      </c>
      <c r="G48" s="10">
        <v>42337</v>
      </c>
      <c r="H48" s="10">
        <f>IF(Table13[[#This Row],[Date of Joining]]="",MEDIAN($G$2:$G$30),Table13[[#This Row],[Date of Joining]])</f>
        <v>42337</v>
      </c>
      <c r="I48" s="8">
        <v>4</v>
      </c>
      <c r="J48" s="8">
        <f>IF(Table13[[#This Row],[Performance Rating]]="",AVERAGE(Table13[Performance Rating]),Table13[[#This Row],[Performance Rating]])</f>
        <v>4</v>
      </c>
      <c r="L48" t="s">
        <v>225</v>
      </c>
      <c r="M48" t="str">
        <f>IF(Table13[[#This Row],[Email]]="invalid_email","Unknown",Table13[[#This Row],[Email]])</f>
        <v>user43@example.com</v>
      </c>
    </row>
    <row r="49" spans="1:13" x14ac:dyDescent="0.3">
      <c r="A49" t="s">
        <v>57</v>
      </c>
      <c r="B49" t="s">
        <v>161</v>
      </c>
      <c r="C49" t="s">
        <v>166</v>
      </c>
      <c r="E49" s="3">
        <v>66513</v>
      </c>
      <c r="F49" s="3">
        <f>IF(Table13[[#This Row],[Salary]]="N/A",AVERAGEIF(Table13[Department],Table13[[#This Row],[Department]],Table13[Salary]),Table13[[#This Row],[Salary]])</f>
        <v>66513</v>
      </c>
      <c r="G49" s="10">
        <v>42344</v>
      </c>
      <c r="H49" s="10">
        <f>IF(Table13[[#This Row],[Date of Joining]]="",MEDIAN($G$2:$G$30),Table13[[#This Row],[Date of Joining]])</f>
        <v>42344</v>
      </c>
      <c r="I49" s="8">
        <v>2</v>
      </c>
      <c r="J49" s="8">
        <f>IF(Table13[[#This Row],[Performance Rating]]="",AVERAGE(Table13[Performance Rating]),Table13[[#This Row],[Performance Rating]])</f>
        <v>2</v>
      </c>
      <c r="K49" t="s">
        <v>179</v>
      </c>
      <c r="L49" t="s">
        <v>187</v>
      </c>
      <c r="M49" t="str">
        <f>IF(Table13[[#This Row],[Email]]="invalid_email","Unknown",Table13[[#This Row],[Email]])</f>
        <v>user24@example.com</v>
      </c>
    </row>
    <row r="50" spans="1:13" x14ac:dyDescent="0.3">
      <c r="A50" t="s">
        <v>58</v>
      </c>
      <c r="B50" t="s">
        <v>159</v>
      </c>
      <c r="C50" t="s">
        <v>167</v>
      </c>
      <c r="D50" t="s">
        <v>172</v>
      </c>
      <c r="E50" s="3">
        <v>78720</v>
      </c>
      <c r="F50" s="3">
        <f>IF(Table13[[#This Row],[Salary]]="N/A",AVERAGEIF(Table13[Department],Table13[[#This Row],[Department]],Table13[Salary]),Table13[[#This Row],[Salary]])</f>
        <v>78720</v>
      </c>
      <c r="G50" s="10">
        <v>42351</v>
      </c>
      <c r="H50" s="10">
        <f>IF(Table13[[#This Row],[Date of Joining]]="",MEDIAN($G$2:$G$30),Table13[[#This Row],[Date of Joining]])</f>
        <v>42351</v>
      </c>
      <c r="I50" s="8">
        <v>5</v>
      </c>
      <c r="J50" s="8">
        <f>IF(Table13[[#This Row],[Performance Rating]]="",AVERAGE(Table13[Performance Rating]),Table13[[#This Row],[Performance Rating]])</f>
        <v>5</v>
      </c>
      <c r="K50" t="s">
        <v>181</v>
      </c>
      <c r="L50" t="s">
        <v>219</v>
      </c>
      <c r="M50" t="str">
        <f>IF(Table13[[#This Row],[Email]]="invalid_email","Unknown",Table13[[#This Row],[Email]])</f>
        <v>user89@example.com</v>
      </c>
    </row>
    <row r="51" spans="1:13" x14ac:dyDescent="0.3">
      <c r="A51" t="s">
        <v>59</v>
      </c>
      <c r="B51" t="s">
        <v>164</v>
      </c>
      <c r="D51" t="s">
        <v>171</v>
      </c>
      <c r="E51" s="3">
        <v>30686</v>
      </c>
      <c r="F51" s="3">
        <f>IF(Table13[[#This Row],[Salary]]="N/A",AVERAGEIF(Table13[Department],Table13[[#This Row],[Department]],Table13[Salary]),Table13[[#This Row],[Salary]])</f>
        <v>30686</v>
      </c>
      <c r="H51" s="10">
        <f>IF(Table13[[#This Row],[Date of Joining]]="",MEDIAN($G$2:$G$30),Table13[[#This Row],[Date of Joining]])</f>
        <v>42113</v>
      </c>
      <c r="I51" s="8">
        <v>2</v>
      </c>
      <c r="J51" s="8">
        <f>IF(Table13[[#This Row],[Performance Rating]]="",AVERAGE(Table13[Performance Rating]),Table13[[#This Row],[Performance Rating]])</f>
        <v>2</v>
      </c>
      <c r="K51" t="s">
        <v>181</v>
      </c>
      <c r="L51" t="s">
        <v>226</v>
      </c>
      <c r="M51" t="str">
        <f>IF(Table13[[#This Row],[Email]]="invalid_email","Unknown",Table13[[#This Row],[Email]])</f>
        <v>user95@example.com</v>
      </c>
    </row>
    <row r="52" spans="1:13" x14ac:dyDescent="0.3">
      <c r="A52" t="s">
        <v>60</v>
      </c>
      <c r="B52" t="s">
        <v>163</v>
      </c>
      <c r="C52" t="s">
        <v>168</v>
      </c>
      <c r="D52" t="s">
        <v>174</v>
      </c>
      <c r="E52" s="3">
        <v>39423</v>
      </c>
      <c r="F52" s="3">
        <f>IF(Table13[[#This Row],[Salary]]="N/A",AVERAGEIF(Table13[Department],Table13[[#This Row],[Department]],Table13[Salary]),Table13[[#This Row],[Salary]])</f>
        <v>39423</v>
      </c>
      <c r="G52" s="10">
        <v>42365</v>
      </c>
      <c r="H52" s="10">
        <f>IF(Table13[[#This Row],[Date of Joining]]="",MEDIAN($G$2:$G$30),Table13[[#This Row],[Date of Joining]])</f>
        <v>42365</v>
      </c>
      <c r="I52" s="8">
        <v>5</v>
      </c>
      <c r="J52" s="8">
        <f>IF(Table13[[#This Row],[Performance Rating]]="",AVERAGE(Table13[Performance Rating]),Table13[[#This Row],[Performance Rating]])</f>
        <v>5</v>
      </c>
      <c r="L52" t="s">
        <v>227</v>
      </c>
      <c r="M52" t="str">
        <f>IF(Table13[[#This Row],[Email]]="invalid_email","Unknown",Table13[[#This Row],[Email]])</f>
        <v>user59@example.com</v>
      </c>
    </row>
    <row r="53" spans="1:13" x14ac:dyDescent="0.3">
      <c r="A53" t="s">
        <v>61</v>
      </c>
      <c r="B53" t="s">
        <v>159</v>
      </c>
      <c r="C53" t="s">
        <v>170</v>
      </c>
      <c r="E53" s="3">
        <v>30280</v>
      </c>
      <c r="F53" s="3">
        <f>IF(Table13[[#This Row],[Salary]]="N/A",AVERAGEIF(Table13[Department],Table13[[#This Row],[Department]],Table13[Salary]),Table13[[#This Row],[Salary]])</f>
        <v>30280</v>
      </c>
      <c r="G53" s="10">
        <v>42372</v>
      </c>
      <c r="H53" s="10">
        <f>IF(Table13[[#This Row],[Date of Joining]]="",MEDIAN($G$2:$G$30),Table13[[#This Row],[Date of Joining]])</f>
        <v>42372</v>
      </c>
      <c r="I53" s="8">
        <v>1</v>
      </c>
      <c r="J53" s="8">
        <f>IF(Table13[[#This Row],[Performance Rating]]="",AVERAGE(Table13[Performance Rating]),Table13[[#This Row],[Performance Rating]])</f>
        <v>1</v>
      </c>
      <c r="L53" t="s">
        <v>228</v>
      </c>
      <c r="M53" t="str">
        <f>IF(Table13[[#This Row],[Email]]="invalid_email","Unknown",Table13[[#This Row],[Email]])</f>
        <v>user152@example.com</v>
      </c>
    </row>
    <row r="54" spans="1:13" x14ac:dyDescent="0.3">
      <c r="A54" t="s">
        <v>62</v>
      </c>
      <c r="B54" t="s">
        <v>159</v>
      </c>
      <c r="C54" t="s">
        <v>166</v>
      </c>
      <c r="D54" t="s">
        <v>175</v>
      </c>
      <c r="E54" s="3">
        <v>33352</v>
      </c>
      <c r="F54" s="3">
        <f>IF(Table13[[#This Row],[Salary]]="N/A",AVERAGEIF(Table13[Department],Table13[[#This Row],[Department]],Table13[Salary]),Table13[[#This Row],[Salary]])</f>
        <v>33352</v>
      </c>
      <c r="G54" s="10">
        <v>42379</v>
      </c>
      <c r="H54" s="10">
        <f>IF(Table13[[#This Row],[Date of Joining]]="",MEDIAN($G$2:$G$30),Table13[[#This Row],[Date of Joining]])</f>
        <v>42379</v>
      </c>
      <c r="I54" s="8">
        <v>3</v>
      </c>
      <c r="J54" s="8">
        <f>IF(Table13[[#This Row],[Performance Rating]]="",AVERAGE(Table13[Performance Rating]),Table13[[#This Row],[Performance Rating]])</f>
        <v>3</v>
      </c>
      <c r="K54" t="s">
        <v>181</v>
      </c>
      <c r="L54" t="s">
        <v>200</v>
      </c>
      <c r="M54" t="str">
        <f>IF(Table13[[#This Row],[Email]]="invalid_email","Unknown",Table13[[#This Row],[Email]])</f>
        <v>user200@example.com</v>
      </c>
    </row>
    <row r="55" spans="1:13" x14ac:dyDescent="0.3">
      <c r="A55" t="s">
        <v>63</v>
      </c>
      <c r="B55" t="s">
        <v>165</v>
      </c>
      <c r="C55" t="s">
        <v>170</v>
      </c>
      <c r="D55" t="s">
        <v>175</v>
      </c>
      <c r="E55" s="3">
        <v>75633</v>
      </c>
      <c r="F55" s="3">
        <f>IF(Table13[[#This Row],[Salary]]="N/A",AVERAGEIF(Table13[Department],Table13[[#This Row],[Department]],Table13[Salary]),Table13[[#This Row],[Salary]])</f>
        <v>75633</v>
      </c>
      <c r="G55" s="10">
        <v>42386</v>
      </c>
      <c r="H55" s="10">
        <f>IF(Table13[[#This Row],[Date of Joining]]="",MEDIAN($G$2:$G$30),Table13[[#This Row],[Date of Joining]])</f>
        <v>42386</v>
      </c>
      <c r="I55" s="8">
        <v>5</v>
      </c>
      <c r="J55" s="8">
        <f>IF(Table13[[#This Row],[Performance Rating]]="",AVERAGE(Table13[Performance Rating]),Table13[[#This Row],[Performance Rating]])</f>
        <v>5</v>
      </c>
      <c r="K55" t="s">
        <v>179</v>
      </c>
      <c r="L55" t="s">
        <v>229</v>
      </c>
      <c r="M55" t="str">
        <f>IF(Table13[[#This Row],[Email]]="invalid_email","Unknown",Table13[[#This Row],[Email]])</f>
        <v>user92@example.com</v>
      </c>
    </row>
    <row r="56" spans="1:13" x14ac:dyDescent="0.3">
      <c r="A56" t="s">
        <v>64</v>
      </c>
      <c r="B56" t="s">
        <v>164</v>
      </c>
      <c r="D56" t="s">
        <v>173</v>
      </c>
      <c r="E56" s="3">
        <v>74815</v>
      </c>
      <c r="F56" s="3">
        <f>IF(Table13[[#This Row],[Salary]]="N/A",AVERAGEIF(Table13[Department],Table13[[#This Row],[Department]],Table13[Salary]),Table13[[#This Row],[Salary]])</f>
        <v>74815</v>
      </c>
      <c r="G56" s="10">
        <v>42393</v>
      </c>
      <c r="H56" s="10">
        <f>IF(Table13[[#This Row],[Date of Joining]]="",MEDIAN($G$2:$G$30),Table13[[#This Row],[Date of Joining]])</f>
        <v>42393</v>
      </c>
      <c r="I56" s="8">
        <v>5</v>
      </c>
      <c r="J56" s="8">
        <f>IF(Table13[[#This Row],[Performance Rating]]="",AVERAGE(Table13[Performance Rating]),Table13[[#This Row],[Performance Rating]])</f>
        <v>5</v>
      </c>
      <c r="K56" t="s">
        <v>181</v>
      </c>
      <c r="L56" t="s">
        <v>230</v>
      </c>
      <c r="M56" t="str">
        <f>IF(Table13[[#This Row],[Email]]="invalid_email","Unknown",Table13[[#This Row],[Email]])</f>
        <v>user50@example.com</v>
      </c>
    </row>
    <row r="57" spans="1:13" x14ac:dyDescent="0.3">
      <c r="A57" t="s">
        <v>65</v>
      </c>
      <c r="B57" t="s">
        <v>161</v>
      </c>
      <c r="C57" t="s">
        <v>168</v>
      </c>
      <c r="D57" t="s">
        <v>176</v>
      </c>
      <c r="E57" s="3">
        <v>60011</v>
      </c>
      <c r="F57" s="3">
        <f>IF(Table13[[#This Row],[Salary]]="N/A",AVERAGEIF(Table13[Department],Table13[[#This Row],[Department]],Table13[Salary]),Table13[[#This Row],[Salary]])</f>
        <v>60011</v>
      </c>
      <c r="G57" s="10">
        <v>42400</v>
      </c>
      <c r="H57" s="10">
        <f>IF(Table13[[#This Row],[Date of Joining]]="",MEDIAN($G$2:$G$30),Table13[[#This Row],[Date of Joining]])</f>
        <v>42400</v>
      </c>
      <c r="I57" s="8">
        <v>1</v>
      </c>
      <c r="J57" s="8">
        <f>IF(Table13[[#This Row],[Performance Rating]]="",AVERAGE(Table13[Performance Rating]),Table13[[#This Row],[Performance Rating]])</f>
        <v>1</v>
      </c>
      <c r="K57" t="s">
        <v>180</v>
      </c>
      <c r="L57" t="s">
        <v>231</v>
      </c>
      <c r="M57" t="str">
        <f>IF(Table13[[#This Row],[Email]]="invalid_email","Unknown",Table13[[#This Row],[Email]])</f>
        <v>user63@example.com</v>
      </c>
    </row>
    <row r="58" spans="1:13" x14ac:dyDescent="0.3">
      <c r="A58" t="s">
        <v>66</v>
      </c>
      <c r="B58" t="s">
        <v>159</v>
      </c>
      <c r="D58" t="s">
        <v>174</v>
      </c>
      <c r="E58" s="3">
        <v>96949</v>
      </c>
      <c r="F58" s="3">
        <f>IF(Table13[[#This Row],[Salary]]="N/A",AVERAGEIF(Table13[Department],Table13[[#This Row],[Department]],Table13[Salary]),Table13[[#This Row],[Salary]])</f>
        <v>96949</v>
      </c>
      <c r="G58" s="10">
        <v>42407</v>
      </c>
      <c r="H58" s="10">
        <f>IF(Table13[[#This Row],[Date of Joining]]="",MEDIAN($G$2:$G$30),Table13[[#This Row],[Date of Joining]])</f>
        <v>42407</v>
      </c>
      <c r="I58" s="8">
        <v>3</v>
      </c>
      <c r="J58" s="8">
        <f>IF(Table13[[#This Row],[Performance Rating]]="",AVERAGE(Table13[Performance Rating]),Table13[[#This Row],[Performance Rating]])</f>
        <v>3</v>
      </c>
      <c r="L58" t="s">
        <v>207</v>
      </c>
      <c r="M58" t="str">
        <f>IF(Table13[[#This Row],[Email]]="invalid_email","Unknown",Table13[[#This Row],[Email]])</f>
        <v>user103@example.com</v>
      </c>
    </row>
    <row r="59" spans="1:13" x14ac:dyDescent="0.3">
      <c r="A59" t="s">
        <v>67</v>
      </c>
      <c r="B59" t="s">
        <v>163</v>
      </c>
      <c r="C59" t="s">
        <v>170</v>
      </c>
      <c r="E59" s="3">
        <v>84924</v>
      </c>
      <c r="F59" s="3">
        <f>IF(Table13[[#This Row],[Salary]]="N/A",AVERAGEIF(Table13[Department],Table13[[#This Row],[Department]],Table13[Salary]),Table13[[#This Row],[Salary]])</f>
        <v>84924</v>
      </c>
      <c r="G59" s="10">
        <v>42414</v>
      </c>
      <c r="H59" s="10">
        <f>IF(Table13[[#This Row],[Date of Joining]]="",MEDIAN($G$2:$G$30),Table13[[#This Row],[Date of Joining]])</f>
        <v>42414</v>
      </c>
      <c r="I59" s="8">
        <v>5</v>
      </c>
      <c r="J59" s="8">
        <f>IF(Table13[[#This Row],[Performance Rating]]="",AVERAGE(Table13[Performance Rating]),Table13[[#This Row],[Performance Rating]])</f>
        <v>5</v>
      </c>
      <c r="K59" t="s">
        <v>180</v>
      </c>
      <c r="L59" t="s">
        <v>232</v>
      </c>
      <c r="M59" t="str">
        <f>IF(Table13[[#This Row],[Email]]="invalid_email","Unknown",Table13[[#This Row],[Email]])</f>
        <v>user150@example.com</v>
      </c>
    </row>
    <row r="60" spans="1:13" x14ac:dyDescent="0.3">
      <c r="A60" t="s">
        <v>68</v>
      </c>
      <c r="B60" t="s">
        <v>163</v>
      </c>
      <c r="C60" t="s">
        <v>166</v>
      </c>
      <c r="D60" t="s">
        <v>173</v>
      </c>
      <c r="E60" s="3">
        <v>82033</v>
      </c>
      <c r="F60" s="3">
        <f>IF(Table13[[#This Row],[Salary]]="N/A",AVERAGEIF(Table13[Department],Table13[[#This Row],[Department]],Table13[Salary]),Table13[[#This Row],[Salary]])</f>
        <v>82033</v>
      </c>
      <c r="G60" s="10">
        <v>42421</v>
      </c>
      <c r="H60" s="10">
        <f>IF(Table13[[#This Row],[Date of Joining]]="",MEDIAN($G$2:$G$30),Table13[[#This Row],[Date of Joining]])</f>
        <v>42421</v>
      </c>
      <c r="I60" s="8">
        <v>1</v>
      </c>
      <c r="J60" s="8">
        <f>IF(Table13[[#This Row],[Performance Rating]]="",AVERAGE(Table13[Performance Rating]),Table13[[#This Row],[Performance Rating]])</f>
        <v>1</v>
      </c>
      <c r="L60" t="s">
        <v>223</v>
      </c>
      <c r="M60" t="str">
        <f>IF(Table13[[#This Row],[Email]]="invalid_email","Unknown",Table13[[#This Row],[Email]])</f>
        <v>user20@example.com</v>
      </c>
    </row>
    <row r="61" spans="1:13" x14ac:dyDescent="0.3">
      <c r="A61" t="s">
        <v>69</v>
      </c>
      <c r="B61" t="s">
        <v>178</v>
      </c>
      <c r="C61" t="s">
        <v>170</v>
      </c>
      <c r="D61" t="s">
        <v>172</v>
      </c>
      <c r="E61" s="3" t="s">
        <v>177</v>
      </c>
      <c r="F61" s="3">
        <f>IF(Table13[[#This Row],[Salary]]="N/A",AVERAGEIF(Table13[Department],Table13[[#This Row],[Department]],Table13[Salary]),Table13[[#This Row],[Salary]])</f>
        <v>63686.692307692305</v>
      </c>
      <c r="H61" s="10">
        <f>IF(Table13[[#This Row],[Date of Joining]]="",MEDIAN($G$2:$G$30),Table13[[#This Row],[Date of Joining]])</f>
        <v>42113</v>
      </c>
      <c r="I61" s="8">
        <v>5</v>
      </c>
      <c r="J61" s="8">
        <f>IF(Table13[[#This Row],[Performance Rating]]="",AVERAGE(Table13[Performance Rating]),Table13[[#This Row],[Performance Rating]])</f>
        <v>5</v>
      </c>
      <c r="K61" t="s">
        <v>178</v>
      </c>
      <c r="L61" t="s">
        <v>233</v>
      </c>
      <c r="M61" t="str">
        <f>IF(Table13[[#This Row],[Email]]="invalid_email","Unknown",Table13[[#This Row],[Email]])</f>
        <v>user112@example.com</v>
      </c>
    </row>
    <row r="62" spans="1:13" x14ac:dyDescent="0.3">
      <c r="A62" t="s">
        <v>70</v>
      </c>
      <c r="B62" t="s">
        <v>159</v>
      </c>
      <c r="D62" t="s">
        <v>176</v>
      </c>
      <c r="E62" s="3">
        <v>31499</v>
      </c>
      <c r="F62" s="3">
        <f>IF(Table13[[#This Row],[Salary]]="N/A",AVERAGEIF(Table13[Department],Table13[[#This Row],[Department]],Table13[Salary]),Table13[[#This Row],[Salary]])</f>
        <v>31499</v>
      </c>
      <c r="G62" s="10">
        <v>42435</v>
      </c>
      <c r="H62" s="10">
        <f>IF(Table13[[#This Row],[Date of Joining]]="",MEDIAN($G$2:$G$30),Table13[[#This Row],[Date of Joining]])</f>
        <v>42435</v>
      </c>
      <c r="I62" s="8">
        <v>2</v>
      </c>
      <c r="J62" s="8">
        <f>IF(Table13[[#This Row],[Performance Rating]]="",AVERAGE(Table13[Performance Rating]),Table13[[#This Row],[Performance Rating]])</f>
        <v>2</v>
      </c>
      <c r="L62" t="s">
        <v>215</v>
      </c>
      <c r="M62" t="str">
        <f>IF(Table13[[#This Row],[Email]]="invalid_email","Unknown",Table13[[#This Row],[Email]])</f>
        <v>user31@example.com</v>
      </c>
    </row>
    <row r="63" spans="1:13" x14ac:dyDescent="0.3">
      <c r="A63" t="s">
        <v>71</v>
      </c>
      <c r="B63" t="s">
        <v>164</v>
      </c>
      <c r="C63" t="s">
        <v>169</v>
      </c>
      <c r="D63" t="s">
        <v>175</v>
      </c>
      <c r="E63" s="3">
        <v>97981</v>
      </c>
      <c r="F63" s="3">
        <f>IF(Table13[[#This Row],[Salary]]="N/A",AVERAGEIF(Table13[Department],Table13[[#This Row],[Department]],Table13[Salary]),Table13[[#This Row],[Salary]])</f>
        <v>97981</v>
      </c>
      <c r="G63" s="10">
        <v>42442</v>
      </c>
      <c r="H63" s="10">
        <f>IF(Table13[[#This Row],[Date of Joining]]="",MEDIAN($G$2:$G$30),Table13[[#This Row],[Date of Joining]])</f>
        <v>42442</v>
      </c>
      <c r="I63" s="8">
        <v>5</v>
      </c>
      <c r="J63" s="8">
        <f>IF(Table13[[#This Row],[Performance Rating]]="",AVERAGE(Table13[Performance Rating]),Table13[[#This Row],[Performance Rating]])</f>
        <v>5</v>
      </c>
      <c r="K63" t="s">
        <v>181</v>
      </c>
      <c r="L63" t="s">
        <v>234</v>
      </c>
      <c r="M63" t="str">
        <f>IF(Table13[[#This Row],[Email]]="invalid_email","Unknown",Table13[[#This Row],[Email]])</f>
        <v>user71@example.com</v>
      </c>
    </row>
    <row r="64" spans="1:13" x14ac:dyDescent="0.3">
      <c r="A64" t="s">
        <v>72</v>
      </c>
      <c r="B64" t="s">
        <v>159</v>
      </c>
      <c r="C64" t="s">
        <v>167</v>
      </c>
      <c r="D64" t="s">
        <v>173</v>
      </c>
      <c r="E64" s="3">
        <v>36541</v>
      </c>
      <c r="F64" s="3">
        <f>IF(Table13[[#This Row],[Salary]]="N/A",AVERAGEIF(Table13[Department],Table13[[#This Row],[Department]],Table13[Salary]),Table13[[#This Row],[Salary]])</f>
        <v>36541</v>
      </c>
      <c r="G64" s="10">
        <v>42449</v>
      </c>
      <c r="H64" s="10">
        <f>IF(Table13[[#This Row],[Date of Joining]]="",MEDIAN($G$2:$G$30),Table13[[#This Row],[Date of Joining]])</f>
        <v>42449</v>
      </c>
      <c r="I64" s="8">
        <v>2</v>
      </c>
      <c r="J64" s="8">
        <f>IF(Table13[[#This Row],[Performance Rating]]="",AVERAGE(Table13[Performance Rating]),Table13[[#This Row],[Performance Rating]])</f>
        <v>2</v>
      </c>
      <c r="K64" t="s">
        <v>179</v>
      </c>
      <c r="L64" t="s">
        <v>235</v>
      </c>
      <c r="M64" t="str">
        <f>IF(Table13[[#This Row],[Email]]="invalid_email","Unknown",Table13[[#This Row],[Email]])</f>
        <v>user97@example.com</v>
      </c>
    </row>
    <row r="65" spans="1:13" x14ac:dyDescent="0.3">
      <c r="A65" t="s">
        <v>73</v>
      </c>
      <c r="B65" t="s">
        <v>161</v>
      </c>
      <c r="C65" t="s">
        <v>169</v>
      </c>
      <c r="D65" t="s">
        <v>174</v>
      </c>
      <c r="E65" s="3">
        <v>84737</v>
      </c>
      <c r="F65" s="3">
        <f>IF(Table13[[#This Row],[Salary]]="N/A",AVERAGEIF(Table13[Department],Table13[[#This Row],[Department]],Table13[Salary]),Table13[[#This Row],[Salary]])</f>
        <v>84737</v>
      </c>
      <c r="G65" s="10">
        <v>42456</v>
      </c>
      <c r="H65" s="10">
        <f>IF(Table13[[#This Row],[Date of Joining]]="",MEDIAN($G$2:$G$30),Table13[[#This Row],[Date of Joining]])</f>
        <v>42456</v>
      </c>
      <c r="I65" s="8">
        <v>1</v>
      </c>
      <c r="J65" s="8">
        <f>IF(Table13[[#This Row],[Performance Rating]]="",AVERAGE(Table13[Performance Rating]),Table13[[#This Row],[Performance Rating]])</f>
        <v>1</v>
      </c>
      <c r="K65" t="s">
        <v>180</v>
      </c>
      <c r="L65" t="s">
        <v>236</v>
      </c>
      <c r="M65" t="str">
        <f>IF(Table13[[#This Row],[Email]]="invalid_email","Unknown",Table13[[#This Row],[Email]])</f>
        <v>user141@example.com</v>
      </c>
    </row>
    <row r="66" spans="1:13" x14ac:dyDescent="0.3">
      <c r="A66" t="s">
        <v>74</v>
      </c>
      <c r="B66" t="s">
        <v>163</v>
      </c>
      <c r="C66" t="s">
        <v>166</v>
      </c>
      <c r="D66" t="s">
        <v>174</v>
      </c>
      <c r="E66" s="3">
        <v>33468</v>
      </c>
      <c r="F66" s="3">
        <f>IF(Table13[[#This Row],[Salary]]="N/A",AVERAGEIF(Table13[Department],Table13[[#This Row],[Department]],Table13[Salary]),Table13[[#This Row],[Salary]])</f>
        <v>33468</v>
      </c>
      <c r="G66" s="10">
        <v>42463</v>
      </c>
      <c r="H66" s="10">
        <f>IF(Table13[[#This Row],[Date of Joining]]="",MEDIAN($G$2:$G$30),Table13[[#This Row],[Date of Joining]])</f>
        <v>42463</v>
      </c>
      <c r="I66" s="8">
        <v>4</v>
      </c>
      <c r="J66" s="8">
        <f>IF(Table13[[#This Row],[Performance Rating]]="",AVERAGE(Table13[Performance Rating]),Table13[[#This Row],[Performance Rating]])</f>
        <v>4</v>
      </c>
      <c r="K66" t="s">
        <v>180</v>
      </c>
      <c r="L66" t="s">
        <v>237</v>
      </c>
      <c r="M66" t="str">
        <f>IF(Table13[[#This Row],[Email]]="invalid_email","Unknown",Table13[[#This Row],[Email]])</f>
        <v>user125@example.com</v>
      </c>
    </row>
    <row r="67" spans="1:13" x14ac:dyDescent="0.3">
      <c r="A67" t="s">
        <v>75</v>
      </c>
      <c r="B67" t="s">
        <v>163</v>
      </c>
      <c r="D67" t="s">
        <v>176</v>
      </c>
      <c r="E67" s="3">
        <v>96365</v>
      </c>
      <c r="F67" s="3">
        <f>IF(Table13[[#This Row],[Salary]]="N/A",AVERAGEIF(Table13[Department],Table13[[#This Row],[Department]],Table13[Salary]),Table13[[#This Row],[Salary]])</f>
        <v>96365</v>
      </c>
      <c r="G67" s="10">
        <v>42470</v>
      </c>
      <c r="H67" s="10">
        <f>IF(Table13[[#This Row],[Date of Joining]]="",MEDIAN($G$2:$G$30),Table13[[#This Row],[Date of Joining]])</f>
        <v>42470</v>
      </c>
      <c r="I67" s="8">
        <v>3</v>
      </c>
      <c r="J67" s="8">
        <f>IF(Table13[[#This Row],[Performance Rating]]="",AVERAGE(Table13[Performance Rating]),Table13[[#This Row],[Performance Rating]])</f>
        <v>3</v>
      </c>
      <c r="K67" t="s">
        <v>179</v>
      </c>
      <c r="L67" t="s">
        <v>238</v>
      </c>
      <c r="M67" t="str">
        <f>IF(Table13[[#This Row],[Email]]="invalid_email","Unknown",Table13[[#This Row],[Email]])</f>
        <v>user90@example.com</v>
      </c>
    </row>
    <row r="68" spans="1:13" x14ac:dyDescent="0.3">
      <c r="A68" t="s">
        <v>76</v>
      </c>
      <c r="B68" t="s">
        <v>160</v>
      </c>
      <c r="C68" t="s">
        <v>168</v>
      </c>
      <c r="D68" t="s">
        <v>174</v>
      </c>
      <c r="E68" s="3">
        <v>61942</v>
      </c>
      <c r="F68" s="3">
        <f>IF(Table13[[#This Row],[Salary]]="N/A",AVERAGEIF(Table13[Department],Table13[[#This Row],[Department]],Table13[Salary]),Table13[[#This Row],[Salary]])</f>
        <v>61942</v>
      </c>
      <c r="G68" s="10">
        <v>42477</v>
      </c>
      <c r="H68" s="10">
        <f>IF(Table13[[#This Row],[Date of Joining]]="",MEDIAN($G$2:$G$30),Table13[[#This Row],[Date of Joining]])</f>
        <v>42477</v>
      </c>
      <c r="I68" s="8">
        <v>3</v>
      </c>
      <c r="J68" s="8">
        <f>IF(Table13[[#This Row],[Performance Rating]]="",AVERAGE(Table13[Performance Rating]),Table13[[#This Row],[Performance Rating]])</f>
        <v>3</v>
      </c>
      <c r="K68" t="s">
        <v>181</v>
      </c>
      <c r="L68" t="s">
        <v>239</v>
      </c>
      <c r="M68" t="str">
        <f>IF(Table13[[#This Row],[Email]]="invalid_email","Unknown",Table13[[#This Row],[Email]])</f>
        <v>user192@example.com</v>
      </c>
    </row>
    <row r="69" spans="1:13" x14ac:dyDescent="0.3">
      <c r="A69" t="s">
        <v>77</v>
      </c>
      <c r="B69" t="s">
        <v>163</v>
      </c>
      <c r="C69" t="s">
        <v>166</v>
      </c>
      <c r="D69" t="s">
        <v>175</v>
      </c>
      <c r="E69" s="3">
        <v>41467</v>
      </c>
      <c r="F69" s="3">
        <f>IF(Table13[[#This Row],[Salary]]="N/A",AVERAGEIF(Table13[Department],Table13[[#This Row],[Department]],Table13[Salary]),Table13[[#This Row],[Salary]])</f>
        <v>41467</v>
      </c>
      <c r="G69" s="10">
        <v>42484</v>
      </c>
      <c r="H69" s="10">
        <f>IF(Table13[[#This Row],[Date of Joining]]="",MEDIAN($G$2:$G$30),Table13[[#This Row],[Date of Joining]])</f>
        <v>42484</v>
      </c>
      <c r="I69" s="8">
        <v>2</v>
      </c>
      <c r="J69" s="8">
        <f>IF(Table13[[#This Row],[Performance Rating]]="",AVERAGE(Table13[Performance Rating]),Table13[[#This Row],[Performance Rating]])</f>
        <v>2</v>
      </c>
      <c r="L69" t="s">
        <v>201</v>
      </c>
      <c r="M69" t="str">
        <f>IF(Table13[[#This Row],[Email]]="invalid_email","Unknown",Table13[[#This Row],[Email]])</f>
        <v>user77@example.com</v>
      </c>
    </row>
    <row r="70" spans="1:13" x14ac:dyDescent="0.3">
      <c r="A70" t="s">
        <v>78</v>
      </c>
      <c r="B70" t="s">
        <v>165</v>
      </c>
      <c r="C70" t="s">
        <v>166</v>
      </c>
      <c r="D70" t="s">
        <v>174</v>
      </c>
      <c r="E70" s="3">
        <v>77096</v>
      </c>
      <c r="F70" s="3">
        <f>IF(Table13[[#This Row],[Salary]]="N/A",AVERAGEIF(Table13[Department],Table13[[#This Row],[Department]],Table13[Salary]),Table13[[#This Row],[Salary]])</f>
        <v>77096</v>
      </c>
      <c r="G70" s="10">
        <v>42491</v>
      </c>
      <c r="H70" s="10">
        <f>IF(Table13[[#This Row],[Date of Joining]]="",MEDIAN($G$2:$G$30),Table13[[#This Row],[Date of Joining]])</f>
        <v>42491</v>
      </c>
      <c r="I70" s="8">
        <v>1</v>
      </c>
      <c r="J70" s="8">
        <f>IF(Table13[[#This Row],[Performance Rating]]="",AVERAGE(Table13[Performance Rating]),Table13[[#This Row],[Performance Rating]])</f>
        <v>1</v>
      </c>
      <c r="L70" t="s">
        <v>240</v>
      </c>
      <c r="M70" t="str">
        <f>IF(Table13[[#This Row],[Email]]="invalid_email","Unknown",Table13[[#This Row],[Email]])</f>
        <v>user65@example.com</v>
      </c>
    </row>
    <row r="71" spans="1:13" x14ac:dyDescent="0.3">
      <c r="A71" t="s">
        <v>79</v>
      </c>
      <c r="B71" t="s">
        <v>159</v>
      </c>
      <c r="C71" t="s">
        <v>168</v>
      </c>
      <c r="D71" t="s">
        <v>176</v>
      </c>
      <c r="E71" s="3">
        <v>69952</v>
      </c>
      <c r="F71" s="3">
        <f>IF(Table13[[#This Row],[Salary]]="N/A",AVERAGEIF(Table13[Department],Table13[[#This Row],[Department]],Table13[Salary]),Table13[[#This Row],[Salary]])</f>
        <v>69952</v>
      </c>
      <c r="G71" s="10">
        <v>42498</v>
      </c>
      <c r="H71" s="10">
        <f>IF(Table13[[#This Row],[Date of Joining]]="",MEDIAN($G$2:$G$30),Table13[[#This Row],[Date of Joining]])</f>
        <v>42498</v>
      </c>
      <c r="I71" s="8">
        <v>5</v>
      </c>
      <c r="J71" s="8">
        <f>IF(Table13[[#This Row],[Performance Rating]]="",AVERAGE(Table13[Performance Rating]),Table13[[#This Row],[Performance Rating]])</f>
        <v>5</v>
      </c>
      <c r="K71" t="s">
        <v>181</v>
      </c>
      <c r="L71" t="s">
        <v>182</v>
      </c>
      <c r="M71" t="str">
        <f>IF(Table13[[#This Row],[Email]]="invalid_email","Unknown",Table13[[#This Row],[Email]])</f>
        <v>Unknown</v>
      </c>
    </row>
    <row r="72" spans="1:13" x14ac:dyDescent="0.3">
      <c r="A72" t="s">
        <v>80</v>
      </c>
      <c r="B72" t="s">
        <v>159</v>
      </c>
      <c r="C72" t="s">
        <v>170</v>
      </c>
      <c r="D72" t="s">
        <v>173</v>
      </c>
      <c r="E72" s="3">
        <v>85065</v>
      </c>
      <c r="F72" s="3">
        <f>IF(Table13[[#This Row],[Salary]]="N/A",AVERAGEIF(Table13[Department],Table13[[#This Row],[Department]],Table13[Salary]),Table13[[#This Row],[Salary]])</f>
        <v>85065</v>
      </c>
      <c r="G72" s="10">
        <v>42505</v>
      </c>
      <c r="H72" s="10">
        <f>IF(Table13[[#This Row],[Date of Joining]]="",MEDIAN($G$2:$G$30),Table13[[#This Row],[Date of Joining]])</f>
        <v>42505</v>
      </c>
      <c r="I72" s="8">
        <v>3</v>
      </c>
      <c r="J72" s="8">
        <f>IF(Table13[[#This Row],[Performance Rating]]="",AVERAGE(Table13[Performance Rating]),Table13[[#This Row],[Performance Rating]])</f>
        <v>3</v>
      </c>
      <c r="L72" t="s">
        <v>241</v>
      </c>
      <c r="M72" t="str">
        <f>IF(Table13[[#This Row],[Email]]="invalid_email","Unknown",Table13[[#This Row],[Email]])</f>
        <v>user142@example.com</v>
      </c>
    </row>
    <row r="73" spans="1:13" x14ac:dyDescent="0.3">
      <c r="A73" t="s">
        <v>81</v>
      </c>
      <c r="B73" t="s">
        <v>165</v>
      </c>
      <c r="C73" t="s">
        <v>170</v>
      </c>
      <c r="D73" t="s">
        <v>174</v>
      </c>
      <c r="E73" s="3">
        <v>56512</v>
      </c>
      <c r="F73" s="3">
        <f>IF(Table13[[#This Row],[Salary]]="N/A",AVERAGEIF(Table13[Department],Table13[[#This Row],[Department]],Table13[Salary]),Table13[[#This Row],[Salary]])</f>
        <v>56512</v>
      </c>
      <c r="G73" s="10">
        <v>42512</v>
      </c>
      <c r="H73" s="10">
        <f>IF(Table13[[#This Row],[Date of Joining]]="",MEDIAN($G$2:$G$30),Table13[[#This Row],[Date of Joining]])</f>
        <v>42512</v>
      </c>
      <c r="J73" s="8">
        <f>IF(Table13[[#This Row],[Performance Rating]]="",AVERAGE(Table13[Performance Rating]),Table13[[#This Row],[Performance Rating]])</f>
        <v>2.879032258064516</v>
      </c>
      <c r="K73" t="s">
        <v>179</v>
      </c>
      <c r="L73" t="s">
        <v>190</v>
      </c>
      <c r="M73" t="str">
        <f>IF(Table13[[#This Row],[Email]]="invalid_email","Unknown",Table13[[#This Row],[Email]])</f>
        <v>user153@example.com</v>
      </c>
    </row>
    <row r="74" spans="1:13" x14ac:dyDescent="0.3">
      <c r="A74" t="s">
        <v>82</v>
      </c>
      <c r="B74" t="s">
        <v>161</v>
      </c>
      <c r="C74" t="s">
        <v>168</v>
      </c>
      <c r="D74" t="s">
        <v>174</v>
      </c>
      <c r="E74" s="3">
        <v>91101</v>
      </c>
      <c r="F74" s="3">
        <f>IF(Table13[[#This Row],[Salary]]="N/A",AVERAGEIF(Table13[Department],Table13[[#This Row],[Department]],Table13[Salary]),Table13[[#This Row],[Salary]])</f>
        <v>91101</v>
      </c>
      <c r="G74" s="10">
        <v>42519</v>
      </c>
      <c r="H74" s="10">
        <f>IF(Table13[[#This Row],[Date of Joining]]="",MEDIAN($G$2:$G$30),Table13[[#This Row],[Date of Joining]])</f>
        <v>42519</v>
      </c>
      <c r="I74" s="8">
        <v>4</v>
      </c>
      <c r="J74" s="8">
        <f>IF(Table13[[#This Row],[Performance Rating]]="",AVERAGE(Table13[Performance Rating]),Table13[[#This Row],[Performance Rating]])</f>
        <v>4</v>
      </c>
      <c r="K74" t="s">
        <v>181</v>
      </c>
      <c r="L74" t="s">
        <v>234</v>
      </c>
      <c r="M74" t="str">
        <f>IF(Table13[[#This Row],[Email]]="invalid_email","Unknown",Table13[[#This Row],[Email]])</f>
        <v>user71@example.com</v>
      </c>
    </row>
    <row r="75" spans="1:13" x14ac:dyDescent="0.3">
      <c r="A75" t="s">
        <v>83</v>
      </c>
      <c r="B75" t="s">
        <v>163</v>
      </c>
      <c r="D75" t="s">
        <v>172</v>
      </c>
      <c r="E75" s="3">
        <v>41243</v>
      </c>
      <c r="F75" s="3">
        <f>IF(Table13[[#This Row],[Salary]]="N/A",AVERAGEIF(Table13[Department],Table13[[#This Row],[Department]],Table13[Salary]),Table13[[#This Row],[Salary]])</f>
        <v>41243</v>
      </c>
      <c r="G75" s="10">
        <v>42526</v>
      </c>
      <c r="H75" s="10">
        <f>IF(Table13[[#This Row],[Date of Joining]]="",MEDIAN($G$2:$G$30),Table13[[#This Row],[Date of Joining]])</f>
        <v>42526</v>
      </c>
      <c r="J75" s="8">
        <f>IF(Table13[[#This Row],[Performance Rating]]="",AVERAGE(Table13[Performance Rating]),Table13[[#This Row],[Performance Rating]])</f>
        <v>2.879032258064516</v>
      </c>
      <c r="L75" t="s">
        <v>211</v>
      </c>
      <c r="M75" t="str">
        <f>IF(Table13[[#This Row],[Email]]="invalid_email","Unknown",Table13[[#This Row],[Email]])</f>
        <v>user143@example.com</v>
      </c>
    </row>
    <row r="76" spans="1:13" x14ac:dyDescent="0.3">
      <c r="A76" t="s">
        <v>84</v>
      </c>
      <c r="B76" t="s">
        <v>178</v>
      </c>
      <c r="C76" t="s">
        <v>168</v>
      </c>
      <c r="D76" t="s">
        <v>171</v>
      </c>
      <c r="E76" s="3">
        <v>96142</v>
      </c>
      <c r="F76" s="3">
        <f>IF(Table13[[#This Row],[Salary]]="N/A",AVERAGEIF(Table13[Department],Table13[[#This Row],[Department]],Table13[Salary]),Table13[[#This Row],[Salary]])</f>
        <v>96142</v>
      </c>
      <c r="G76" s="10">
        <v>42533</v>
      </c>
      <c r="H76" s="10">
        <f>IF(Table13[[#This Row],[Date of Joining]]="",MEDIAN($G$2:$G$30),Table13[[#This Row],[Date of Joining]])</f>
        <v>42533</v>
      </c>
      <c r="I76" s="8">
        <v>1</v>
      </c>
      <c r="J76" s="8">
        <f>IF(Table13[[#This Row],[Performance Rating]]="",AVERAGE(Table13[Performance Rating]),Table13[[#This Row],[Performance Rating]])</f>
        <v>1</v>
      </c>
      <c r="K76" t="s">
        <v>179</v>
      </c>
      <c r="L76" t="s">
        <v>242</v>
      </c>
      <c r="M76" t="str">
        <f>IF(Table13[[#This Row],[Email]]="invalid_email","Unknown",Table13[[#This Row],[Email]])</f>
        <v>user17@example.com</v>
      </c>
    </row>
    <row r="77" spans="1:13" x14ac:dyDescent="0.3">
      <c r="A77" t="s">
        <v>85</v>
      </c>
      <c r="B77" t="s">
        <v>159</v>
      </c>
      <c r="C77" t="s">
        <v>169</v>
      </c>
      <c r="D77" t="s">
        <v>174</v>
      </c>
      <c r="E77" s="3">
        <v>94301</v>
      </c>
      <c r="F77" s="3">
        <f>IF(Table13[[#This Row],[Salary]]="N/A",AVERAGEIF(Table13[Department],Table13[[#This Row],[Department]],Table13[Salary]),Table13[[#This Row],[Salary]])</f>
        <v>94301</v>
      </c>
      <c r="G77" s="10">
        <v>42540</v>
      </c>
      <c r="H77" s="10">
        <f>IF(Table13[[#This Row],[Date of Joining]]="",MEDIAN($G$2:$G$30),Table13[[#This Row],[Date of Joining]])</f>
        <v>42540</v>
      </c>
      <c r="I77" s="8">
        <v>1</v>
      </c>
      <c r="J77" s="8">
        <f>IF(Table13[[#This Row],[Performance Rating]]="",AVERAGE(Table13[Performance Rating]),Table13[[#This Row],[Performance Rating]])</f>
        <v>1</v>
      </c>
      <c r="K77" t="s">
        <v>180</v>
      </c>
      <c r="L77" t="s">
        <v>223</v>
      </c>
      <c r="M77" t="str">
        <f>IF(Table13[[#This Row],[Email]]="invalid_email","Unknown",Table13[[#This Row],[Email]])</f>
        <v>user20@example.com</v>
      </c>
    </row>
    <row r="78" spans="1:13" x14ac:dyDescent="0.3">
      <c r="A78" t="s">
        <v>86</v>
      </c>
      <c r="B78" t="s">
        <v>162</v>
      </c>
      <c r="D78" t="s">
        <v>175</v>
      </c>
      <c r="E78" s="3">
        <v>69166</v>
      </c>
      <c r="F78" s="3">
        <f>IF(Table13[[#This Row],[Salary]]="N/A",AVERAGEIF(Table13[Department],Table13[[#This Row],[Department]],Table13[Salary]),Table13[[#This Row],[Salary]])</f>
        <v>69166</v>
      </c>
      <c r="G78" s="10">
        <v>42547</v>
      </c>
      <c r="H78" s="10">
        <f>IF(Table13[[#This Row],[Date of Joining]]="",MEDIAN($G$2:$G$30),Table13[[#This Row],[Date of Joining]])</f>
        <v>42547</v>
      </c>
      <c r="I78" s="8">
        <v>1</v>
      </c>
      <c r="J78" s="8">
        <f>IF(Table13[[#This Row],[Performance Rating]]="",AVERAGE(Table13[Performance Rating]),Table13[[#This Row],[Performance Rating]])</f>
        <v>1</v>
      </c>
      <c r="K78" t="s">
        <v>181</v>
      </c>
      <c r="L78" t="s">
        <v>243</v>
      </c>
      <c r="M78" t="str">
        <f>IF(Table13[[#This Row],[Email]]="invalid_email","Unknown",Table13[[#This Row],[Email]])</f>
        <v>user22@example.com</v>
      </c>
    </row>
    <row r="79" spans="1:13" x14ac:dyDescent="0.3">
      <c r="A79" t="s">
        <v>87</v>
      </c>
      <c r="B79" t="s">
        <v>163</v>
      </c>
      <c r="D79" t="s">
        <v>175</v>
      </c>
      <c r="E79" s="3">
        <v>78245</v>
      </c>
      <c r="F79" s="3">
        <f>IF(Table13[[#This Row],[Salary]]="N/A",AVERAGEIF(Table13[Department],Table13[[#This Row],[Department]],Table13[Salary]),Table13[[#This Row],[Salary]])</f>
        <v>78245</v>
      </c>
      <c r="G79" s="10">
        <v>42554</v>
      </c>
      <c r="H79" s="10">
        <f>IF(Table13[[#This Row],[Date of Joining]]="",MEDIAN($G$2:$G$30),Table13[[#This Row],[Date of Joining]])</f>
        <v>42554</v>
      </c>
      <c r="I79" s="8">
        <v>2</v>
      </c>
      <c r="J79" s="8">
        <f>IF(Table13[[#This Row],[Performance Rating]]="",AVERAGE(Table13[Performance Rating]),Table13[[#This Row],[Performance Rating]])</f>
        <v>2</v>
      </c>
      <c r="L79" t="s">
        <v>244</v>
      </c>
      <c r="M79" t="str">
        <f>IF(Table13[[#This Row],[Email]]="invalid_email","Unknown",Table13[[#This Row],[Email]])</f>
        <v>user46@example.com</v>
      </c>
    </row>
    <row r="80" spans="1:13" x14ac:dyDescent="0.3">
      <c r="A80" t="s">
        <v>88</v>
      </c>
      <c r="B80" t="s">
        <v>164</v>
      </c>
      <c r="C80" t="s">
        <v>168</v>
      </c>
      <c r="D80" t="s">
        <v>173</v>
      </c>
      <c r="E80" s="3">
        <v>66079</v>
      </c>
      <c r="F80" s="3">
        <f>IF(Table13[[#This Row],[Salary]]="N/A",AVERAGEIF(Table13[Department],Table13[[#This Row],[Department]],Table13[Salary]),Table13[[#This Row],[Salary]])</f>
        <v>66079</v>
      </c>
      <c r="G80" s="10">
        <v>42561</v>
      </c>
      <c r="H80" s="10">
        <f>IF(Table13[[#This Row],[Date of Joining]]="",MEDIAN($G$2:$G$30),Table13[[#This Row],[Date of Joining]])</f>
        <v>42561</v>
      </c>
      <c r="I80" s="8">
        <v>2</v>
      </c>
      <c r="J80" s="8">
        <f>IF(Table13[[#This Row],[Performance Rating]]="",AVERAGE(Table13[Performance Rating]),Table13[[#This Row],[Performance Rating]])</f>
        <v>2</v>
      </c>
      <c r="K80" t="s">
        <v>179</v>
      </c>
      <c r="L80" t="s">
        <v>245</v>
      </c>
      <c r="M80" t="str">
        <f>IF(Table13[[#This Row],[Email]]="invalid_email","Unknown",Table13[[#This Row],[Email]])</f>
        <v>user55@example.com</v>
      </c>
    </row>
    <row r="81" spans="1:13" x14ac:dyDescent="0.3">
      <c r="A81" t="s">
        <v>89</v>
      </c>
      <c r="B81" t="s">
        <v>159</v>
      </c>
      <c r="C81" t="s">
        <v>170</v>
      </c>
      <c r="D81" t="s">
        <v>174</v>
      </c>
      <c r="E81" s="3" t="s">
        <v>177</v>
      </c>
      <c r="F81" s="3">
        <f>IF(Table13[[#This Row],[Salary]]="N/A",AVERAGEIF(Table13[Department],Table13[[#This Row],[Department]],Table13[Salary]),Table13[[#This Row],[Salary]])</f>
        <v>63686.692307692305</v>
      </c>
      <c r="H81" s="10">
        <f>IF(Table13[[#This Row],[Date of Joining]]="",MEDIAN($G$2:$G$30),Table13[[#This Row],[Date of Joining]])</f>
        <v>42113</v>
      </c>
      <c r="J81" s="8">
        <f>IF(Table13[[#This Row],[Performance Rating]]="",AVERAGE(Table13[Performance Rating]),Table13[[#This Row],[Performance Rating]])</f>
        <v>2.879032258064516</v>
      </c>
      <c r="L81" t="s">
        <v>208</v>
      </c>
      <c r="M81" t="str">
        <f>IF(Table13[[#This Row],[Email]]="invalid_email","Unknown",Table13[[#This Row],[Email]])</f>
        <v>user135@example.com</v>
      </c>
    </row>
    <row r="82" spans="1:13" x14ac:dyDescent="0.3">
      <c r="A82" t="s">
        <v>90</v>
      </c>
      <c r="B82" t="s">
        <v>162</v>
      </c>
      <c r="C82" t="s">
        <v>168</v>
      </c>
      <c r="D82" t="s">
        <v>173</v>
      </c>
      <c r="E82" s="3">
        <v>95621</v>
      </c>
      <c r="F82" s="3">
        <f>IF(Table13[[#This Row],[Salary]]="N/A",AVERAGEIF(Table13[Department],Table13[[#This Row],[Department]],Table13[Salary]),Table13[[#This Row],[Salary]])</f>
        <v>95621</v>
      </c>
      <c r="G82" s="10">
        <v>42575</v>
      </c>
      <c r="H82" s="10">
        <f>IF(Table13[[#This Row],[Date of Joining]]="",MEDIAN($G$2:$G$30),Table13[[#This Row],[Date of Joining]])</f>
        <v>42575</v>
      </c>
      <c r="I82" s="8">
        <v>3</v>
      </c>
      <c r="J82" s="8">
        <f>IF(Table13[[#This Row],[Performance Rating]]="",AVERAGE(Table13[Performance Rating]),Table13[[#This Row],[Performance Rating]])</f>
        <v>3</v>
      </c>
      <c r="K82" t="s">
        <v>181</v>
      </c>
      <c r="L82" t="s">
        <v>246</v>
      </c>
      <c r="M82" t="str">
        <f>IF(Table13[[#This Row],[Email]]="invalid_email","Unknown",Table13[[#This Row],[Email]])</f>
        <v>user156@example.com</v>
      </c>
    </row>
    <row r="83" spans="1:13" x14ac:dyDescent="0.3">
      <c r="A83" t="s">
        <v>91</v>
      </c>
      <c r="B83" t="s">
        <v>159</v>
      </c>
      <c r="C83" t="s">
        <v>169</v>
      </c>
      <c r="D83" t="s">
        <v>175</v>
      </c>
      <c r="E83" s="3">
        <v>42262</v>
      </c>
      <c r="F83" s="3">
        <f>IF(Table13[[#This Row],[Salary]]="N/A",AVERAGEIF(Table13[Department],Table13[[#This Row],[Department]],Table13[Salary]),Table13[[#This Row],[Salary]])</f>
        <v>42262</v>
      </c>
      <c r="G83" s="10">
        <v>42582</v>
      </c>
      <c r="H83" s="10">
        <f>IF(Table13[[#This Row],[Date of Joining]]="",MEDIAN($G$2:$G$30),Table13[[#This Row],[Date of Joining]])</f>
        <v>42582</v>
      </c>
      <c r="I83" s="8">
        <v>1</v>
      </c>
      <c r="J83" s="8">
        <f>IF(Table13[[#This Row],[Performance Rating]]="",AVERAGE(Table13[Performance Rating]),Table13[[#This Row],[Performance Rating]])</f>
        <v>1</v>
      </c>
      <c r="L83" t="s">
        <v>247</v>
      </c>
      <c r="M83" t="str">
        <f>IF(Table13[[#This Row],[Email]]="invalid_email","Unknown",Table13[[#This Row],[Email]])</f>
        <v>user104@example.com</v>
      </c>
    </row>
    <row r="84" spans="1:13" x14ac:dyDescent="0.3">
      <c r="A84" t="s">
        <v>92</v>
      </c>
      <c r="B84" t="s">
        <v>163</v>
      </c>
      <c r="C84" t="s">
        <v>168</v>
      </c>
      <c r="D84" t="s">
        <v>174</v>
      </c>
      <c r="E84" s="3">
        <v>99621</v>
      </c>
      <c r="F84" s="3">
        <f>IF(Table13[[#This Row],[Salary]]="N/A",AVERAGEIF(Table13[Department],Table13[[#This Row],[Department]],Table13[Salary]),Table13[[#This Row],[Salary]])</f>
        <v>99621</v>
      </c>
      <c r="G84" s="10">
        <v>42589</v>
      </c>
      <c r="H84" s="10">
        <f>IF(Table13[[#This Row],[Date of Joining]]="",MEDIAN($G$2:$G$30),Table13[[#This Row],[Date of Joining]])</f>
        <v>42589</v>
      </c>
      <c r="J84" s="8">
        <f>IF(Table13[[#This Row],[Performance Rating]]="",AVERAGE(Table13[Performance Rating]),Table13[[#This Row],[Performance Rating]])</f>
        <v>2.879032258064516</v>
      </c>
      <c r="K84" t="s">
        <v>179</v>
      </c>
      <c r="L84" t="s">
        <v>248</v>
      </c>
      <c r="M84" t="str">
        <f>IF(Table13[[#This Row],[Email]]="invalid_email","Unknown",Table13[[#This Row],[Email]])</f>
        <v>user145@example.com</v>
      </c>
    </row>
    <row r="85" spans="1:13" x14ac:dyDescent="0.3">
      <c r="A85" t="s">
        <v>93</v>
      </c>
      <c r="B85" t="s">
        <v>161</v>
      </c>
      <c r="C85" t="s">
        <v>170</v>
      </c>
      <c r="D85" t="s">
        <v>174</v>
      </c>
      <c r="E85" s="3">
        <v>44682</v>
      </c>
      <c r="F85" s="3">
        <f>IF(Table13[[#This Row],[Salary]]="N/A",AVERAGEIF(Table13[Department],Table13[[#This Row],[Department]],Table13[Salary]),Table13[[#This Row],[Salary]])</f>
        <v>44682</v>
      </c>
      <c r="G85" s="10">
        <v>42596</v>
      </c>
      <c r="H85" s="10">
        <f>IF(Table13[[#This Row],[Date of Joining]]="",MEDIAN($G$2:$G$30),Table13[[#This Row],[Date of Joining]])</f>
        <v>42596</v>
      </c>
      <c r="I85" s="8">
        <v>4</v>
      </c>
      <c r="J85" s="8">
        <f>IF(Table13[[#This Row],[Performance Rating]]="",AVERAGE(Table13[Performance Rating]),Table13[[#This Row],[Performance Rating]])</f>
        <v>4</v>
      </c>
      <c r="K85" t="s">
        <v>181</v>
      </c>
      <c r="L85" t="s">
        <v>220</v>
      </c>
      <c r="M85" t="str">
        <f>IF(Table13[[#This Row],[Email]]="invalid_email","Unknown",Table13[[#This Row],[Email]])</f>
        <v>user47@example.com</v>
      </c>
    </row>
    <row r="86" spans="1:13" x14ac:dyDescent="0.3">
      <c r="A86" t="s">
        <v>94</v>
      </c>
      <c r="B86" t="s">
        <v>164</v>
      </c>
      <c r="C86" t="s">
        <v>166</v>
      </c>
      <c r="E86" s="3">
        <v>35163</v>
      </c>
      <c r="F86" s="3">
        <f>IF(Table13[[#This Row],[Salary]]="N/A",AVERAGEIF(Table13[Department],Table13[[#This Row],[Department]],Table13[Salary]),Table13[[#This Row],[Salary]])</f>
        <v>35163</v>
      </c>
      <c r="G86" s="10">
        <v>42603</v>
      </c>
      <c r="H86" s="10">
        <f>IF(Table13[[#This Row],[Date of Joining]]="",MEDIAN($G$2:$G$30),Table13[[#This Row],[Date of Joining]])</f>
        <v>42603</v>
      </c>
      <c r="I86" s="8">
        <v>5</v>
      </c>
      <c r="J86" s="8">
        <f>IF(Table13[[#This Row],[Performance Rating]]="",AVERAGE(Table13[Performance Rating]),Table13[[#This Row],[Performance Rating]])</f>
        <v>5</v>
      </c>
      <c r="K86" t="s">
        <v>179</v>
      </c>
      <c r="L86" t="s">
        <v>249</v>
      </c>
      <c r="M86" t="str">
        <f>IF(Table13[[#This Row],[Email]]="invalid_email","Unknown",Table13[[#This Row],[Email]])</f>
        <v>user197@example.com</v>
      </c>
    </row>
    <row r="87" spans="1:13" x14ac:dyDescent="0.3">
      <c r="A87" t="s">
        <v>95</v>
      </c>
      <c r="B87" t="s">
        <v>164</v>
      </c>
      <c r="C87" t="s">
        <v>169</v>
      </c>
      <c r="D87" t="s">
        <v>174</v>
      </c>
      <c r="E87" s="3">
        <v>33483</v>
      </c>
      <c r="F87" s="3">
        <f>IF(Table13[[#This Row],[Salary]]="N/A",AVERAGEIF(Table13[Department],Table13[[#This Row],[Department]],Table13[Salary]),Table13[[#This Row],[Salary]])</f>
        <v>33483</v>
      </c>
      <c r="G87" s="10">
        <v>42610</v>
      </c>
      <c r="H87" s="10">
        <f>IF(Table13[[#This Row],[Date of Joining]]="",MEDIAN($G$2:$G$30),Table13[[#This Row],[Date of Joining]])</f>
        <v>42610</v>
      </c>
      <c r="I87" s="8">
        <v>4</v>
      </c>
      <c r="J87" s="8">
        <f>IF(Table13[[#This Row],[Performance Rating]]="",AVERAGE(Table13[Performance Rating]),Table13[[#This Row],[Performance Rating]])</f>
        <v>4</v>
      </c>
      <c r="K87" t="s">
        <v>180</v>
      </c>
      <c r="L87" t="s">
        <v>250</v>
      </c>
      <c r="M87" t="str">
        <f>IF(Table13[[#This Row],[Email]]="invalid_email","Unknown",Table13[[#This Row],[Email]])</f>
        <v>user177@example.com</v>
      </c>
    </row>
    <row r="88" spans="1:13" x14ac:dyDescent="0.3">
      <c r="A88" t="s">
        <v>96</v>
      </c>
      <c r="B88" t="s">
        <v>163</v>
      </c>
      <c r="C88" t="s">
        <v>167</v>
      </c>
      <c r="D88" t="s">
        <v>172</v>
      </c>
      <c r="E88" s="3">
        <v>55303</v>
      </c>
      <c r="F88" s="3">
        <f>IF(Table13[[#This Row],[Salary]]="N/A",AVERAGEIF(Table13[Department],Table13[[#This Row],[Department]],Table13[Salary]),Table13[[#This Row],[Salary]])</f>
        <v>55303</v>
      </c>
      <c r="G88" s="10">
        <v>42617</v>
      </c>
      <c r="H88" s="10">
        <f>IF(Table13[[#This Row],[Date of Joining]]="",MEDIAN($G$2:$G$30),Table13[[#This Row],[Date of Joining]])</f>
        <v>42617</v>
      </c>
      <c r="I88" s="8">
        <v>4</v>
      </c>
      <c r="J88" s="8">
        <f>IF(Table13[[#This Row],[Performance Rating]]="",AVERAGE(Table13[Performance Rating]),Table13[[#This Row],[Performance Rating]])</f>
        <v>4</v>
      </c>
      <c r="K88" t="s">
        <v>180</v>
      </c>
      <c r="L88" t="s">
        <v>203</v>
      </c>
      <c r="M88" t="str">
        <f>IF(Table13[[#This Row],[Email]]="invalid_email","Unknown",Table13[[#This Row],[Email]])</f>
        <v>user149@example.com</v>
      </c>
    </row>
    <row r="89" spans="1:13" x14ac:dyDescent="0.3">
      <c r="A89" t="s">
        <v>97</v>
      </c>
      <c r="B89" t="s">
        <v>164</v>
      </c>
      <c r="C89" t="s">
        <v>169</v>
      </c>
      <c r="E89" s="3">
        <v>63434</v>
      </c>
      <c r="F89" s="3">
        <f>IF(Table13[[#This Row],[Salary]]="N/A",AVERAGEIF(Table13[Department],Table13[[#This Row],[Department]],Table13[Salary]),Table13[[#This Row],[Salary]])</f>
        <v>63434</v>
      </c>
      <c r="G89" s="10">
        <v>42624</v>
      </c>
      <c r="H89" s="10">
        <f>IF(Table13[[#This Row],[Date of Joining]]="",MEDIAN($G$2:$G$30),Table13[[#This Row],[Date of Joining]])</f>
        <v>42624</v>
      </c>
      <c r="I89" s="8">
        <v>3</v>
      </c>
      <c r="J89" s="8">
        <f>IF(Table13[[#This Row],[Performance Rating]]="",AVERAGE(Table13[Performance Rating]),Table13[[#This Row],[Performance Rating]])</f>
        <v>3</v>
      </c>
      <c r="L89" t="s">
        <v>251</v>
      </c>
      <c r="M89" t="str">
        <f>IF(Table13[[#This Row],[Email]]="invalid_email","Unknown",Table13[[#This Row],[Email]])</f>
        <v>user48@example.com</v>
      </c>
    </row>
    <row r="90" spans="1:13" x14ac:dyDescent="0.3">
      <c r="A90" t="s">
        <v>98</v>
      </c>
      <c r="B90" t="s">
        <v>162</v>
      </c>
      <c r="D90" t="s">
        <v>176</v>
      </c>
      <c r="E90" s="3">
        <v>38830</v>
      </c>
      <c r="F90" s="3">
        <f>IF(Table13[[#This Row],[Salary]]="N/A",AVERAGEIF(Table13[Department],Table13[[#This Row],[Department]],Table13[Salary]),Table13[[#This Row],[Salary]])</f>
        <v>38830</v>
      </c>
      <c r="G90" s="10">
        <v>42631</v>
      </c>
      <c r="H90" s="10">
        <f>IF(Table13[[#This Row],[Date of Joining]]="",MEDIAN($G$2:$G$30),Table13[[#This Row],[Date of Joining]])</f>
        <v>42631</v>
      </c>
      <c r="I90" s="8">
        <v>3</v>
      </c>
      <c r="J90" s="8">
        <f>IF(Table13[[#This Row],[Performance Rating]]="",AVERAGE(Table13[Performance Rating]),Table13[[#This Row],[Performance Rating]])</f>
        <v>3</v>
      </c>
      <c r="K90" t="s">
        <v>179</v>
      </c>
      <c r="L90" t="s">
        <v>203</v>
      </c>
      <c r="M90" t="str">
        <f>IF(Table13[[#This Row],[Email]]="invalid_email","Unknown",Table13[[#This Row],[Email]])</f>
        <v>user149@example.com</v>
      </c>
    </row>
    <row r="91" spans="1:13" x14ac:dyDescent="0.3">
      <c r="A91" t="s">
        <v>99</v>
      </c>
      <c r="B91" t="s">
        <v>178</v>
      </c>
      <c r="C91" t="s">
        <v>170</v>
      </c>
      <c r="D91" t="s">
        <v>175</v>
      </c>
      <c r="E91" s="3">
        <v>50741</v>
      </c>
      <c r="F91" s="3">
        <f>IF(Table13[[#This Row],[Salary]]="N/A",AVERAGEIF(Table13[Department],Table13[[#This Row],[Department]],Table13[Salary]),Table13[[#This Row],[Salary]])</f>
        <v>50741</v>
      </c>
      <c r="G91" s="10">
        <v>42638</v>
      </c>
      <c r="H91" s="10">
        <f>IF(Table13[[#This Row],[Date of Joining]]="",MEDIAN($G$2:$G$30),Table13[[#This Row],[Date of Joining]])</f>
        <v>42638</v>
      </c>
      <c r="I91" s="8">
        <v>3</v>
      </c>
      <c r="J91" s="8">
        <f>IF(Table13[[#This Row],[Performance Rating]]="",AVERAGE(Table13[Performance Rating]),Table13[[#This Row],[Performance Rating]])</f>
        <v>3</v>
      </c>
      <c r="K91" t="s">
        <v>178</v>
      </c>
      <c r="L91" t="s">
        <v>240</v>
      </c>
      <c r="M91" t="str">
        <f>IF(Table13[[#This Row],[Email]]="invalid_email","Unknown",Table13[[#This Row],[Email]])</f>
        <v>user65@example.com</v>
      </c>
    </row>
    <row r="92" spans="1:13" x14ac:dyDescent="0.3">
      <c r="A92" t="s">
        <v>100</v>
      </c>
      <c r="B92" t="s">
        <v>160</v>
      </c>
      <c r="C92" t="s">
        <v>167</v>
      </c>
      <c r="D92" t="s">
        <v>176</v>
      </c>
      <c r="E92" s="3">
        <v>69420</v>
      </c>
      <c r="F92" s="3">
        <f>IF(Table13[[#This Row],[Salary]]="N/A",AVERAGEIF(Table13[Department],Table13[[#This Row],[Department]],Table13[Salary]),Table13[[#This Row],[Salary]])</f>
        <v>69420</v>
      </c>
      <c r="G92" s="10">
        <v>42645</v>
      </c>
      <c r="H92" s="10">
        <f>IF(Table13[[#This Row],[Date of Joining]]="",MEDIAN($G$2:$G$30),Table13[[#This Row],[Date of Joining]])</f>
        <v>42645</v>
      </c>
      <c r="I92" s="8">
        <v>1</v>
      </c>
      <c r="J92" s="8">
        <f>IF(Table13[[#This Row],[Performance Rating]]="",AVERAGE(Table13[Performance Rating]),Table13[[#This Row],[Performance Rating]])</f>
        <v>1</v>
      </c>
      <c r="K92" t="s">
        <v>180</v>
      </c>
      <c r="L92" t="s">
        <v>225</v>
      </c>
      <c r="M92" t="str">
        <f>IF(Table13[[#This Row],[Email]]="invalid_email","Unknown",Table13[[#This Row],[Email]])</f>
        <v>user43@example.com</v>
      </c>
    </row>
    <row r="93" spans="1:13" x14ac:dyDescent="0.3">
      <c r="A93" t="s">
        <v>101</v>
      </c>
      <c r="B93" t="s">
        <v>162</v>
      </c>
      <c r="C93" t="s">
        <v>169</v>
      </c>
      <c r="E93" s="3">
        <v>80588</v>
      </c>
      <c r="F93" s="3">
        <f>IF(Table13[[#This Row],[Salary]]="N/A",AVERAGEIF(Table13[Department],Table13[[#This Row],[Department]],Table13[Salary]),Table13[[#This Row],[Salary]])</f>
        <v>80588</v>
      </c>
      <c r="G93" s="10">
        <v>42652</v>
      </c>
      <c r="H93" s="10">
        <f>IF(Table13[[#This Row],[Date of Joining]]="",MEDIAN($G$2:$G$30),Table13[[#This Row],[Date of Joining]])</f>
        <v>42652</v>
      </c>
      <c r="I93" s="8">
        <v>5</v>
      </c>
      <c r="J93" s="8">
        <f>IF(Table13[[#This Row],[Performance Rating]]="",AVERAGE(Table13[Performance Rating]),Table13[[#This Row],[Performance Rating]])</f>
        <v>5</v>
      </c>
      <c r="K93" t="s">
        <v>180</v>
      </c>
      <c r="L93" t="s">
        <v>216</v>
      </c>
      <c r="M93" t="str">
        <f>IF(Table13[[#This Row],[Email]]="invalid_email","Unknown",Table13[[#This Row],[Email]])</f>
        <v>user98@example.com</v>
      </c>
    </row>
    <row r="94" spans="1:13" x14ac:dyDescent="0.3">
      <c r="A94" t="s">
        <v>102</v>
      </c>
      <c r="B94" t="s">
        <v>160</v>
      </c>
      <c r="D94" t="s">
        <v>173</v>
      </c>
      <c r="E94" s="3">
        <v>76238</v>
      </c>
      <c r="F94" s="3">
        <f>IF(Table13[[#This Row],[Salary]]="N/A",AVERAGEIF(Table13[Department],Table13[[#This Row],[Department]],Table13[Salary]),Table13[[#This Row],[Salary]])</f>
        <v>76238</v>
      </c>
      <c r="G94" s="10">
        <v>42659</v>
      </c>
      <c r="H94" s="10">
        <f>IF(Table13[[#This Row],[Date of Joining]]="",MEDIAN($G$2:$G$30),Table13[[#This Row],[Date of Joining]])</f>
        <v>42659</v>
      </c>
      <c r="I94" s="8">
        <v>4</v>
      </c>
      <c r="J94" s="8">
        <f>IF(Table13[[#This Row],[Performance Rating]]="",AVERAGE(Table13[Performance Rating]),Table13[[#This Row],[Performance Rating]])</f>
        <v>4</v>
      </c>
      <c r="K94" t="s">
        <v>180</v>
      </c>
      <c r="L94" t="s">
        <v>252</v>
      </c>
      <c r="M94" t="str">
        <f>IF(Table13[[#This Row],[Email]]="invalid_email","Unknown",Table13[[#This Row],[Email]])</f>
        <v>user102@example.com</v>
      </c>
    </row>
    <row r="95" spans="1:13" x14ac:dyDescent="0.3">
      <c r="A95" t="s">
        <v>103</v>
      </c>
      <c r="B95" t="s">
        <v>165</v>
      </c>
      <c r="C95" t="s">
        <v>169</v>
      </c>
      <c r="D95" t="s">
        <v>174</v>
      </c>
      <c r="E95" s="3">
        <v>33264</v>
      </c>
      <c r="F95" s="3">
        <f>IF(Table13[[#This Row],[Salary]]="N/A",AVERAGEIF(Table13[Department],Table13[[#This Row],[Department]],Table13[Salary]),Table13[[#This Row],[Salary]])</f>
        <v>33264</v>
      </c>
      <c r="G95" s="10">
        <v>42666</v>
      </c>
      <c r="H95" s="10">
        <f>IF(Table13[[#This Row],[Date of Joining]]="",MEDIAN($G$2:$G$30),Table13[[#This Row],[Date of Joining]])</f>
        <v>42666</v>
      </c>
      <c r="J95" s="8">
        <f>IF(Table13[[#This Row],[Performance Rating]]="",AVERAGE(Table13[Performance Rating]),Table13[[#This Row],[Performance Rating]])</f>
        <v>2.879032258064516</v>
      </c>
      <c r="K95" t="s">
        <v>181</v>
      </c>
      <c r="L95" t="s">
        <v>253</v>
      </c>
      <c r="M95" t="str">
        <f>IF(Table13[[#This Row],[Email]]="invalid_email","Unknown",Table13[[#This Row],[Email]])</f>
        <v>user148@example.com</v>
      </c>
    </row>
    <row r="96" spans="1:13" x14ac:dyDescent="0.3">
      <c r="A96" t="s">
        <v>104</v>
      </c>
      <c r="B96" t="s">
        <v>160</v>
      </c>
      <c r="C96" t="s">
        <v>166</v>
      </c>
      <c r="D96" t="s">
        <v>176</v>
      </c>
      <c r="E96" s="3">
        <v>96101</v>
      </c>
      <c r="F96" s="3">
        <f>IF(Table13[[#This Row],[Salary]]="N/A",AVERAGEIF(Table13[Department],Table13[[#This Row],[Department]],Table13[Salary]),Table13[[#This Row],[Salary]])</f>
        <v>96101</v>
      </c>
      <c r="G96" s="10">
        <v>42673</v>
      </c>
      <c r="H96" s="10">
        <f>IF(Table13[[#This Row],[Date of Joining]]="",MEDIAN($G$2:$G$30),Table13[[#This Row],[Date of Joining]])</f>
        <v>42673</v>
      </c>
      <c r="J96" s="8">
        <f>IF(Table13[[#This Row],[Performance Rating]]="",AVERAGE(Table13[Performance Rating]),Table13[[#This Row],[Performance Rating]])</f>
        <v>2.879032258064516</v>
      </c>
      <c r="K96" t="s">
        <v>179</v>
      </c>
      <c r="L96" t="s">
        <v>254</v>
      </c>
      <c r="M96" t="str">
        <f>IF(Table13[[#This Row],[Email]]="invalid_email","Unknown",Table13[[#This Row],[Email]])</f>
        <v>user155@example.com</v>
      </c>
    </row>
    <row r="97" spans="1:13" x14ac:dyDescent="0.3">
      <c r="A97" t="s">
        <v>105</v>
      </c>
      <c r="B97" t="s">
        <v>162</v>
      </c>
      <c r="C97" t="s">
        <v>166</v>
      </c>
      <c r="D97" t="s">
        <v>173</v>
      </c>
      <c r="E97" s="3">
        <v>72939</v>
      </c>
      <c r="F97" s="3">
        <f>IF(Table13[[#This Row],[Salary]]="N/A",AVERAGEIF(Table13[Department],Table13[[#This Row],[Department]],Table13[Salary]),Table13[[#This Row],[Salary]])</f>
        <v>72939</v>
      </c>
      <c r="G97" s="10">
        <v>42680</v>
      </c>
      <c r="H97" s="10">
        <f>IF(Table13[[#This Row],[Date of Joining]]="",MEDIAN($G$2:$G$30),Table13[[#This Row],[Date of Joining]])</f>
        <v>42680</v>
      </c>
      <c r="I97" s="8">
        <v>3</v>
      </c>
      <c r="J97" s="8">
        <f>IF(Table13[[#This Row],[Performance Rating]]="",AVERAGE(Table13[Performance Rating]),Table13[[#This Row],[Performance Rating]])</f>
        <v>3</v>
      </c>
      <c r="L97" t="s">
        <v>255</v>
      </c>
      <c r="M97" t="str">
        <f>IF(Table13[[#This Row],[Email]]="invalid_email","Unknown",Table13[[#This Row],[Email]])</f>
        <v>user191@example.com</v>
      </c>
    </row>
    <row r="98" spans="1:13" x14ac:dyDescent="0.3">
      <c r="A98" t="s">
        <v>106</v>
      </c>
      <c r="B98" t="s">
        <v>163</v>
      </c>
      <c r="C98" t="s">
        <v>167</v>
      </c>
      <c r="D98" t="s">
        <v>172</v>
      </c>
      <c r="E98" s="3">
        <v>89333</v>
      </c>
      <c r="F98" s="3">
        <f>IF(Table13[[#This Row],[Salary]]="N/A",AVERAGEIF(Table13[Department],Table13[[#This Row],[Department]],Table13[Salary]),Table13[[#This Row],[Salary]])</f>
        <v>89333</v>
      </c>
      <c r="G98" s="10">
        <v>42687</v>
      </c>
      <c r="H98" s="10">
        <f>IF(Table13[[#This Row],[Date of Joining]]="",MEDIAN($G$2:$G$30),Table13[[#This Row],[Date of Joining]])</f>
        <v>42687</v>
      </c>
      <c r="I98" s="8">
        <v>1</v>
      </c>
      <c r="J98" s="8">
        <f>IF(Table13[[#This Row],[Performance Rating]]="",AVERAGE(Table13[Performance Rating]),Table13[[#This Row],[Performance Rating]])</f>
        <v>1</v>
      </c>
      <c r="K98" t="s">
        <v>180</v>
      </c>
      <c r="L98" t="s">
        <v>256</v>
      </c>
      <c r="M98" t="str">
        <f>IF(Table13[[#This Row],[Email]]="invalid_email","Unknown",Table13[[#This Row],[Email]])</f>
        <v>user113@example.com</v>
      </c>
    </row>
    <row r="99" spans="1:13" x14ac:dyDescent="0.3">
      <c r="A99" t="s">
        <v>107</v>
      </c>
      <c r="B99" t="s">
        <v>165</v>
      </c>
      <c r="C99" t="s">
        <v>169</v>
      </c>
      <c r="D99" t="s">
        <v>176</v>
      </c>
      <c r="E99" s="3">
        <v>70470</v>
      </c>
      <c r="F99" s="3">
        <f>IF(Table13[[#This Row],[Salary]]="N/A",AVERAGEIF(Table13[Department],Table13[[#This Row],[Department]],Table13[Salary]),Table13[[#This Row],[Salary]])</f>
        <v>70470</v>
      </c>
      <c r="G99" s="10">
        <v>42694</v>
      </c>
      <c r="H99" s="10">
        <f>IF(Table13[[#This Row],[Date of Joining]]="",MEDIAN($G$2:$G$30),Table13[[#This Row],[Date of Joining]])</f>
        <v>42694</v>
      </c>
      <c r="J99" s="8">
        <f>IF(Table13[[#This Row],[Performance Rating]]="",AVERAGE(Table13[Performance Rating]),Table13[[#This Row],[Performance Rating]])</f>
        <v>2.879032258064516</v>
      </c>
      <c r="K99" t="s">
        <v>180</v>
      </c>
      <c r="L99" t="s">
        <v>257</v>
      </c>
      <c r="M99" t="str">
        <f>IF(Table13[[#This Row],[Email]]="invalid_email","Unknown",Table13[[#This Row],[Email]])</f>
        <v>user62@example.com</v>
      </c>
    </row>
    <row r="100" spans="1:13" x14ac:dyDescent="0.3">
      <c r="A100" t="s">
        <v>108</v>
      </c>
      <c r="B100" t="s">
        <v>159</v>
      </c>
      <c r="C100" t="s">
        <v>170</v>
      </c>
      <c r="D100" t="s">
        <v>173</v>
      </c>
      <c r="E100" s="3">
        <v>70096</v>
      </c>
      <c r="F100" s="3">
        <f>IF(Table13[[#This Row],[Salary]]="N/A",AVERAGEIF(Table13[Department],Table13[[#This Row],[Department]],Table13[Salary]),Table13[[#This Row],[Salary]])</f>
        <v>70096</v>
      </c>
      <c r="G100" s="10">
        <v>42701</v>
      </c>
      <c r="H100" s="10">
        <f>IF(Table13[[#This Row],[Date of Joining]]="",MEDIAN($G$2:$G$30),Table13[[#This Row],[Date of Joining]])</f>
        <v>42701</v>
      </c>
      <c r="I100" s="8">
        <v>4</v>
      </c>
      <c r="J100" s="8">
        <f>IF(Table13[[#This Row],[Performance Rating]]="",AVERAGE(Table13[Performance Rating]),Table13[[#This Row],[Performance Rating]])</f>
        <v>4</v>
      </c>
      <c r="K100" t="s">
        <v>180</v>
      </c>
      <c r="L100" t="s">
        <v>258</v>
      </c>
      <c r="M100" t="str">
        <f>IF(Table13[[#This Row],[Email]]="invalid_email","Unknown",Table13[[#This Row],[Email]])</f>
        <v>user76@example.com</v>
      </c>
    </row>
    <row r="101" spans="1:13" x14ac:dyDescent="0.3">
      <c r="A101" t="s">
        <v>109</v>
      </c>
      <c r="B101" t="s">
        <v>165</v>
      </c>
      <c r="C101" t="s">
        <v>170</v>
      </c>
      <c r="D101" t="s">
        <v>171</v>
      </c>
      <c r="E101" s="3" t="s">
        <v>177</v>
      </c>
      <c r="F101" s="3">
        <f>IF(Table13[[#This Row],[Salary]]="N/A",AVERAGEIF(Table13[Department],Table13[[#This Row],[Department]],Table13[Salary]),Table13[[#This Row],[Salary]])</f>
        <v>63686.692307692305</v>
      </c>
      <c r="G101" s="10">
        <v>42708</v>
      </c>
      <c r="H101" s="10">
        <f>IF(Table13[[#This Row],[Date of Joining]]="",MEDIAN($G$2:$G$30),Table13[[#This Row],[Date of Joining]])</f>
        <v>42708</v>
      </c>
      <c r="I101" s="8">
        <v>2</v>
      </c>
      <c r="J101" s="8">
        <f>IF(Table13[[#This Row],[Performance Rating]]="",AVERAGE(Table13[Performance Rating]),Table13[[#This Row],[Performance Rating]])</f>
        <v>2</v>
      </c>
      <c r="K101" t="s">
        <v>179</v>
      </c>
      <c r="L101" t="s">
        <v>259</v>
      </c>
      <c r="M101" t="str">
        <f>IF(Table13[[#This Row],[Email]]="invalid_email","Unknown",Table13[[#This Row],[Email]])</f>
        <v>user40@example.com</v>
      </c>
    </row>
    <row r="102" spans="1:13" x14ac:dyDescent="0.3">
      <c r="A102" t="s">
        <v>110</v>
      </c>
      <c r="B102" t="s">
        <v>165</v>
      </c>
      <c r="C102" t="s">
        <v>169</v>
      </c>
      <c r="D102" t="s">
        <v>172</v>
      </c>
      <c r="E102" s="3">
        <v>66503</v>
      </c>
      <c r="F102" s="3">
        <f>IF(Table13[[#This Row],[Salary]]="N/A",AVERAGEIF(Table13[Department],Table13[[#This Row],[Department]],Table13[Salary]),Table13[[#This Row],[Salary]])</f>
        <v>66503</v>
      </c>
      <c r="G102" s="10">
        <v>42715</v>
      </c>
      <c r="H102" s="10">
        <f>IF(Table13[[#This Row],[Date of Joining]]="",MEDIAN($G$2:$G$30),Table13[[#This Row],[Date of Joining]])</f>
        <v>42715</v>
      </c>
      <c r="J102" s="8">
        <f>IF(Table13[[#This Row],[Performance Rating]]="",AVERAGE(Table13[Performance Rating]),Table13[[#This Row],[Performance Rating]])</f>
        <v>2.879032258064516</v>
      </c>
      <c r="K102" t="s">
        <v>180</v>
      </c>
      <c r="L102" t="s">
        <v>200</v>
      </c>
      <c r="M102" t="str">
        <f>IF(Table13[[#This Row],[Email]]="invalid_email","Unknown",Table13[[#This Row],[Email]])</f>
        <v>user200@example.com</v>
      </c>
    </row>
    <row r="103" spans="1:13" x14ac:dyDescent="0.3">
      <c r="A103" t="s">
        <v>111</v>
      </c>
      <c r="B103" t="s">
        <v>160</v>
      </c>
      <c r="C103" t="s">
        <v>167</v>
      </c>
      <c r="D103" t="s">
        <v>172</v>
      </c>
      <c r="E103" s="3">
        <v>42096</v>
      </c>
      <c r="F103" s="3">
        <f>IF(Table13[[#This Row],[Salary]]="N/A",AVERAGEIF(Table13[Department],Table13[[#This Row],[Department]],Table13[Salary]),Table13[[#This Row],[Salary]])</f>
        <v>42096</v>
      </c>
      <c r="G103" s="10">
        <v>42722</v>
      </c>
      <c r="H103" s="10">
        <f>IF(Table13[[#This Row],[Date of Joining]]="",MEDIAN($G$2:$G$30),Table13[[#This Row],[Date of Joining]])</f>
        <v>42722</v>
      </c>
      <c r="J103" s="8">
        <f>IF(Table13[[#This Row],[Performance Rating]]="",AVERAGE(Table13[Performance Rating]),Table13[[#This Row],[Performance Rating]])</f>
        <v>2.879032258064516</v>
      </c>
      <c r="K103" t="s">
        <v>181</v>
      </c>
      <c r="L103" t="s">
        <v>260</v>
      </c>
      <c r="M103" t="str">
        <f>IF(Table13[[#This Row],[Email]]="invalid_email","Unknown",Table13[[#This Row],[Email]])</f>
        <v>user54@example.com</v>
      </c>
    </row>
    <row r="104" spans="1:13" x14ac:dyDescent="0.3">
      <c r="A104" t="s">
        <v>112</v>
      </c>
      <c r="B104" t="s">
        <v>160</v>
      </c>
      <c r="C104" t="s">
        <v>170</v>
      </c>
      <c r="E104" s="3">
        <v>79145</v>
      </c>
      <c r="F104" s="3">
        <f>IF(Table13[[#This Row],[Salary]]="N/A",AVERAGEIF(Table13[Department],Table13[[#This Row],[Department]],Table13[Salary]),Table13[[#This Row],[Salary]])</f>
        <v>79145</v>
      </c>
      <c r="G104" s="10">
        <v>42729</v>
      </c>
      <c r="H104" s="10">
        <f>IF(Table13[[#This Row],[Date of Joining]]="",MEDIAN($G$2:$G$30),Table13[[#This Row],[Date of Joining]])</f>
        <v>42729</v>
      </c>
      <c r="I104" s="8">
        <v>5</v>
      </c>
      <c r="J104" s="8">
        <f>IF(Table13[[#This Row],[Performance Rating]]="",AVERAGE(Table13[Performance Rating]),Table13[[#This Row],[Performance Rating]])</f>
        <v>5</v>
      </c>
      <c r="K104" t="s">
        <v>179</v>
      </c>
      <c r="L104" t="s">
        <v>223</v>
      </c>
      <c r="M104" t="str">
        <f>IF(Table13[[#This Row],[Email]]="invalid_email","Unknown",Table13[[#This Row],[Email]])</f>
        <v>user20@example.com</v>
      </c>
    </row>
    <row r="105" spans="1:13" x14ac:dyDescent="0.3">
      <c r="A105" t="s">
        <v>113</v>
      </c>
      <c r="B105" t="s">
        <v>162</v>
      </c>
      <c r="D105" t="s">
        <v>176</v>
      </c>
      <c r="E105" s="3">
        <v>61556</v>
      </c>
      <c r="F105" s="3">
        <f>IF(Table13[[#This Row],[Salary]]="N/A",AVERAGEIF(Table13[Department],Table13[[#This Row],[Department]],Table13[Salary]),Table13[[#This Row],[Salary]])</f>
        <v>61556</v>
      </c>
      <c r="G105" s="10">
        <v>42736</v>
      </c>
      <c r="H105" s="10">
        <f>IF(Table13[[#This Row],[Date of Joining]]="",MEDIAN($G$2:$G$30),Table13[[#This Row],[Date of Joining]])</f>
        <v>42736</v>
      </c>
      <c r="I105" s="8">
        <v>1</v>
      </c>
      <c r="J105" s="8">
        <f>IF(Table13[[#This Row],[Performance Rating]]="",AVERAGE(Table13[Performance Rating]),Table13[[#This Row],[Performance Rating]])</f>
        <v>1</v>
      </c>
      <c r="L105" t="s">
        <v>259</v>
      </c>
      <c r="M105" t="str">
        <f>IF(Table13[[#This Row],[Email]]="invalid_email","Unknown",Table13[[#This Row],[Email]])</f>
        <v>user40@example.com</v>
      </c>
    </row>
    <row r="106" spans="1:13" x14ac:dyDescent="0.3">
      <c r="A106" t="s">
        <v>114</v>
      </c>
      <c r="B106" t="s">
        <v>178</v>
      </c>
      <c r="C106" t="s">
        <v>167</v>
      </c>
      <c r="D106" t="s">
        <v>175</v>
      </c>
      <c r="E106" s="3">
        <v>87963</v>
      </c>
      <c r="F106" s="3">
        <f>IF(Table13[[#This Row],[Salary]]="N/A",AVERAGEIF(Table13[Department],Table13[[#This Row],[Department]],Table13[Salary]),Table13[[#This Row],[Salary]])</f>
        <v>87963</v>
      </c>
      <c r="G106" s="10">
        <v>42743</v>
      </c>
      <c r="H106" s="10">
        <f>IF(Table13[[#This Row],[Date of Joining]]="",MEDIAN($G$2:$G$30),Table13[[#This Row],[Date of Joining]])</f>
        <v>42743</v>
      </c>
      <c r="I106" s="8">
        <v>3</v>
      </c>
      <c r="J106" s="8">
        <f>IF(Table13[[#This Row],[Performance Rating]]="",AVERAGE(Table13[Performance Rating]),Table13[[#This Row],[Performance Rating]])</f>
        <v>3</v>
      </c>
      <c r="K106" t="s">
        <v>179</v>
      </c>
      <c r="L106" t="s">
        <v>182</v>
      </c>
      <c r="M106" t="str">
        <f>IF(Table13[[#This Row],[Email]]="invalid_email","Unknown",Table13[[#This Row],[Email]])</f>
        <v>Unknown</v>
      </c>
    </row>
    <row r="107" spans="1:13" x14ac:dyDescent="0.3">
      <c r="A107" t="s">
        <v>115</v>
      </c>
      <c r="B107" t="s">
        <v>159</v>
      </c>
      <c r="C107" t="s">
        <v>169</v>
      </c>
      <c r="E107" s="3">
        <v>48325</v>
      </c>
      <c r="F107" s="3">
        <f>IF(Table13[[#This Row],[Salary]]="N/A",AVERAGEIF(Table13[Department],Table13[[#This Row],[Department]],Table13[Salary]),Table13[[#This Row],[Salary]])</f>
        <v>48325</v>
      </c>
      <c r="G107" s="10">
        <v>42750</v>
      </c>
      <c r="H107" s="10">
        <f>IF(Table13[[#This Row],[Date of Joining]]="",MEDIAN($G$2:$G$30),Table13[[#This Row],[Date of Joining]])</f>
        <v>42750</v>
      </c>
      <c r="J107" s="8">
        <f>IF(Table13[[#This Row],[Performance Rating]]="",AVERAGE(Table13[Performance Rating]),Table13[[#This Row],[Performance Rating]])</f>
        <v>2.879032258064516</v>
      </c>
      <c r="K107" t="s">
        <v>180</v>
      </c>
      <c r="L107" t="s">
        <v>261</v>
      </c>
      <c r="M107" t="str">
        <f>IF(Table13[[#This Row],[Email]]="invalid_email","Unknown",Table13[[#This Row],[Email]])</f>
        <v>user189@example.com</v>
      </c>
    </row>
    <row r="108" spans="1:13" x14ac:dyDescent="0.3">
      <c r="A108" t="s">
        <v>116</v>
      </c>
      <c r="B108" t="s">
        <v>163</v>
      </c>
      <c r="C108" t="s">
        <v>170</v>
      </c>
      <c r="D108" t="s">
        <v>176</v>
      </c>
      <c r="E108" s="3">
        <v>86412</v>
      </c>
      <c r="F108" s="3">
        <f>IF(Table13[[#This Row],[Salary]]="N/A",AVERAGEIF(Table13[Department],Table13[[#This Row],[Department]],Table13[Salary]),Table13[[#This Row],[Salary]])</f>
        <v>86412</v>
      </c>
      <c r="G108" s="10">
        <v>42757</v>
      </c>
      <c r="H108" s="10">
        <f>IF(Table13[[#This Row],[Date of Joining]]="",MEDIAN($G$2:$G$30),Table13[[#This Row],[Date of Joining]])</f>
        <v>42757</v>
      </c>
      <c r="I108" s="8">
        <v>2</v>
      </c>
      <c r="J108" s="8">
        <f>IF(Table13[[#This Row],[Performance Rating]]="",AVERAGE(Table13[Performance Rating]),Table13[[#This Row],[Performance Rating]])</f>
        <v>2</v>
      </c>
      <c r="K108" t="s">
        <v>181</v>
      </c>
      <c r="L108" t="s">
        <v>202</v>
      </c>
      <c r="M108" t="str">
        <f>IF(Table13[[#This Row],[Email]]="invalid_email","Unknown",Table13[[#This Row],[Email]])</f>
        <v>user128@example.com</v>
      </c>
    </row>
    <row r="109" spans="1:13" x14ac:dyDescent="0.3">
      <c r="A109" t="s">
        <v>117</v>
      </c>
      <c r="B109" t="s">
        <v>163</v>
      </c>
      <c r="C109" t="s">
        <v>167</v>
      </c>
      <c r="E109" s="3">
        <v>66761</v>
      </c>
      <c r="F109" s="3">
        <f>IF(Table13[[#This Row],[Salary]]="N/A",AVERAGEIF(Table13[Department],Table13[[#This Row],[Department]],Table13[Salary]),Table13[[#This Row],[Salary]])</f>
        <v>66761</v>
      </c>
      <c r="G109" s="10">
        <v>42764</v>
      </c>
      <c r="H109" s="10">
        <f>IF(Table13[[#This Row],[Date of Joining]]="",MEDIAN($G$2:$G$30),Table13[[#This Row],[Date of Joining]])</f>
        <v>42764</v>
      </c>
      <c r="I109" s="8">
        <v>1</v>
      </c>
      <c r="J109" s="8">
        <f>IF(Table13[[#This Row],[Performance Rating]]="",AVERAGE(Table13[Performance Rating]),Table13[[#This Row],[Performance Rating]])</f>
        <v>1</v>
      </c>
      <c r="L109" t="s">
        <v>262</v>
      </c>
      <c r="M109" t="str">
        <f>IF(Table13[[#This Row],[Email]]="invalid_email","Unknown",Table13[[#This Row],[Email]])</f>
        <v>user93@example.com</v>
      </c>
    </row>
    <row r="110" spans="1:13" x14ac:dyDescent="0.3">
      <c r="A110" t="s">
        <v>118</v>
      </c>
      <c r="B110" t="s">
        <v>162</v>
      </c>
      <c r="D110" t="s">
        <v>174</v>
      </c>
      <c r="E110" s="3">
        <v>88850</v>
      </c>
      <c r="F110" s="3">
        <f>IF(Table13[[#This Row],[Salary]]="N/A",AVERAGEIF(Table13[Department],Table13[[#This Row],[Department]],Table13[Salary]),Table13[[#This Row],[Salary]])</f>
        <v>88850</v>
      </c>
      <c r="G110" s="10">
        <v>42771</v>
      </c>
      <c r="H110" s="10">
        <f>IF(Table13[[#This Row],[Date of Joining]]="",MEDIAN($G$2:$G$30),Table13[[#This Row],[Date of Joining]])</f>
        <v>42771</v>
      </c>
      <c r="I110" s="8">
        <v>1</v>
      </c>
      <c r="J110" s="8">
        <f>IF(Table13[[#This Row],[Performance Rating]]="",AVERAGE(Table13[Performance Rating]),Table13[[#This Row],[Performance Rating]])</f>
        <v>1</v>
      </c>
      <c r="K110" t="s">
        <v>181</v>
      </c>
      <c r="L110" t="s">
        <v>263</v>
      </c>
      <c r="M110" t="str">
        <f>IF(Table13[[#This Row],[Email]]="invalid_email","Unknown",Table13[[#This Row],[Email]])</f>
        <v>user174@example.com</v>
      </c>
    </row>
    <row r="111" spans="1:13" x14ac:dyDescent="0.3">
      <c r="A111" t="s">
        <v>119</v>
      </c>
      <c r="B111" t="s">
        <v>164</v>
      </c>
      <c r="C111" t="s">
        <v>168</v>
      </c>
      <c r="D111" t="s">
        <v>174</v>
      </c>
      <c r="E111" s="3">
        <v>31293</v>
      </c>
      <c r="F111" s="3">
        <f>IF(Table13[[#This Row],[Salary]]="N/A",AVERAGEIF(Table13[Department],Table13[[#This Row],[Department]],Table13[Salary]),Table13[[#This Row],[Salary]])</f>
        <v>31293</v>
      </c>
      <c r="H111" s="10">
        <f>IF(Table13[[#This Row],[Date of Joining]]="",MEDIAN($G$2:$G$30),Table13[[#This Row],[Date of Joining]])</f>
        <v>42113</v>
      </c>
      <c r="I111" s="8">
        <v>2</v>
      </c>
      <c r="J111" s="8">
        <f>IF(Table13[[#This Row],[Performance Rating]]="",AVERAGE(Table13[Performance Rating]),Table13[[#This Row],[Performance Rating]])</f>
        <v>2</v>
      </c>
      <c r="K111" t="s">
        <v>181</v>
      </c>
      <c r="L111" t="s">
        <v>264</v>
      </c>
      <c r="M111" t="str">
        <f>IF(Table13[[#This Row],[Email]]="invalid_email","Unknown",Table13[[#This Row],[Email]])</f>
        <v>user44@example.com</v>
      </c>
    </row>
    <row r="112" spans="1:13" x14ac:dyDescent="0.3">
      <c r="A112" t="s">
        <v>120</v>
      </c>
      <c r="B112" t="s">
        <v>164</v>
      </c>
      <c r="C112" t="s">
        <v>169</v>
      </c>
      <c r="D112" t="s">
        <v>173</v>
      </c>
      <c r="E112" s="3">
        <v>34306</v>
      </c>
      <c r="F112" s="3">
        <f>IF(Table13[[#This Row],[Salary]]="N/A",AVERAGEIF(Table13[Department],Table13[[#This Row],[Department]],Table13[Salary]),Table13[[#This Row],[Salary]])</f>
        <v>34306</v>
      </c>
      <c r="G112" s="10">
        <v>42785</v>
      </c>
      <c r="H112" s="10">
        <f>IF(Table13[[#This Row],[Date of Joining]]="",MEDIAN($G$2:$G$30),Table13[[#This Row],[Date of Joining]])</f>
        <v>42785</v>
      </c>
      <c r="I112" s="8">
        <v>5</v>
      </c>
      <c r="J112" s="8">
        <f>IF(Table13[[#This Row],[Performance Rating]]="",AVERAGE(Table13[Performance Rating]),Table13[[#This Row],[Performance Rating]])</f>
        <v>5</v>
      </c>
      <c r="K112" t="s">
        <v>181</v>
      </c>
      <c r="L112" t="s">
        <v>239</v>
      </c>
      <c r="M112" t="str">
        <f>IF(Table13[[#This Row],[Email]]="invalid_email","Unknown",Table13[[#This Row],[Email]])</f>
        <v>user192@example.com</v>
      </c>
    </row>
    <row r="113" spans="1:13" x14ac:dyDescent="0.3">
      <c r="A113" t="s">
        <v>121</v>
      </c>
      <c r="B113" t="s">
        <v>159</v>
      </c>
      <c r="C113" t="s">
        <v>166</v>
      </c>
      <c r="D113" t="s">
        <v>174</v>
      </c>
      <c r="E113" s="3">
        <v>78330</v>
      </c>
      <c r="F113" s="3">
        <f>IF(Table13[[#This Row],[Salary]]="N/A",AVERAGEIF(Table13[Department],Table13[[#This Row],[Department]],Table13[Salary]),Table13[[#This Row],[Salary]])</f>
        <v>78330</v>
      </c>
      <c r="G113" s="10">
        <v>42792</v>
      </c>
      <c r="H113" s="10">
        <f>IF(Table13[[#This Row],[Date of Joining]]="",MEDIAN($G$2:$G$30),Table13[[#This Row],[Date of Joining]])</f>
        <v>42792</v>
      </c>
      <c r="J113" s="8">
        <f>IF(Table13[[#This Row],[Performance Rating]]="",AVERAGE(Table13[Performance Rating]),Table13[[#This Row],[Performance Rating]])</f>
        <v>2.879032258064516</v>
      </c>
      <c r="K113" t="s">
        <v>179</v>
      </c>
      <c r="L113" t="s">
        <v>258</v>
      </c>
      <c r="M113" t="str">
        <f>IF(Table13[[#This Row],[Email]]="invalid_email","Unknown",Table13[[#This Row],[Email]])</f>
        <v>user76@example.com</v>
      </c>
    </row>
    <row r="114" spans="1:13" x14ac:dyDescent="0.3">
      <c r="A114" t="s">
        <v>122</v>
      </c>
      <c r="B114" t="s">
        <v>160</v>
      </c>
      <c r="C114" t="s">
        <v>169</v>
      </c>
      <c r="D114" t="s">
        <v>173</v>
      </c>
      <c r="E114" s="3">
        <v>47653</v>
      </c>
      <c r="F114" s="3">
        <f>IF(Table13[[#This Row],[Salary]]="N/A",AVERAGEIF(Table13[Department],Table13[[#This Row],[Department]],Table13[Salary]),Table13[[#This Row],[Salary]])</f>
        <v>47653</v>
      </c>
      <c r="G114" s="10">
        <v>42799</v>
      </c>
      <c r="H114" s="10">
        <f>IF(Table13[[#This Row],[Date of Joining]]="",MEDIAN($G$2:$G$30),Table13[[#This Row],[Date of Joining]])</f>
        <v>42799</v>
      </c>
      <c r="I114" s="8">
        <v>1</v>
      </c>
      <c r="J114" s="8">
        <f>IF(Table13[[#This Row],[Performance Rating]]="",AVERAGE(Table13[Performance Rating]),Table13[[#This Row],[Performance Rating]])</f>
        <v>1</v>
      </c>
      <c r="K114" t="s">
        <v>180</v>
      </c>
      <c r="L114" t="s">
        <v>265</v>
      </c>
      <c r="M114" t="str">
        <f>IF(Table13[[#This Row],[Email]]="invalid_email","Unknown",Table13[[#This Row],[Email]])</f>
        <v>user82@example.com</v>
      </c>
    </row>
    <row r="115" spans="1:13" x14ac:dyDescent="0.3">
      <c r="A115" t="s">
        <v>123</v>
      </c>
      <c r="B115" t="s">
        <v>159</v>
      </c>
      <c r="C115" t="s">
        <v>170</v>
      </c>
      <c r="D115" t="s">
        <v>175</v>
      </c>
      <c r="E115" s="3">
        <v>44627</v>
      </c>
      <c r="F115" s="3">
        <f>IF(Table13[[#This Row],[Salary]]="N/A",AVERAGEIF(Table13[Department],Table13[[#This Row],[Department]],Table13[Salary]),Table13[[#This Row],[Salary]])</f>
        <v>44627</v>
      </c>
      <c r="G115" s="10">
        <v>42806</v>
      </c>
      <c r="H115" s="10">
        <f>IF(Table13[[#This Row],[Date of Joining]]="",MEDIAN($G$2:$G$30),Table13[[#This Row],[Date of Joining]])</f>
        <v>42806</v>
      </c>
      <c r="I115" s="8">
        <v>4</v>
      </c>
      <c r="J115" s="8">
        <f>IF(Table13[[#This Row],[Performance Rating]]="",AVERAGE(Table13[Performance Rating]),Table13[[#This Row],[Performance Rating]])</f>
        <v>4</v>
      </c>
      <c r="L115" t="s">
        <v>235</v>
      </c>
      <c r="M115" t="str">
        <f>IF(Table13[[#This Row],[Email]]="invalid_email","Unknown",Table13[[#This Row],[Email]])</f>
        <v>user97@example.com</v>
      </c>
    </row>
    <row r="116" spans="1:13" x14ac:dyDescent="0.3">
      <c r="A116" t="s">
        <v>124</v>
      </c>
      <c r="B116" t="s">
        <v>165</v>
      </c>
      <c r="C116" t="s">
        <v>167</v>
      </c>
      <c r="D116" t="s">
        <v>172</v>
      </c>
      <c r="E116" s="3">
        <v>92343</v>
      </c>
      <c r="F116" s="3">
        <f>IF(Table13[[#This Row],[Salary]]="N/A",AVERAGEIF(Table13[Department],Table13[[#This Row],[Department]],Table13[Salary]),Table13[[#This Row],[Salary]])</f>
        <v>92343</v>
      </c>
      <c r="G116" s="10">
        <v>42813</v>
      </c>
      <c r="H116" s="10">
        <f>IF(Table13[[#This Row],[Date of Joining]]="",MEDIAN($G$2:$G$30),Table13[[#This Row],[Date of Joining]])</f>
        <v>42813</v>
      </c>
      <c r="I116" s="8">
        <v>4</v>
      </c>
      <c r="J116" s="8">
        <f>IF(Table13[[#This Row],[Performance Rating]]="",AVERAGE(Table13[Performance Rating]),Table13[[#This Row],[Performance Rating]])</f>
        <v>4</v>
      </c>
      <c r="K116" t="s">
        <v>181</v>
      </c>
      <c r="L116" t="s">
        <v>203</v>
      </c>
      <c r="M116" t="str">
        <f>IF(Table13[[#This Row],[Email]]="invalid_email","Unknown",Table13[[#This Row],[Email]])</f>
        <v>user149@example.com</v>
      </c>
    </row>
    <row r="117" spans="1:13" x14ac:dyDescent="0.3">
      <c r="A117" t="s">
        <v>125</v>
      </c>
      <c r="B117" t="s">
        <v>165</v>
      </c>
      <c r="C117" t="s">
        <v>170</v>
      </c>
      <c r="D117" t="s">
        <v>176</v>
      </c>
      <c r="E117" s="3">
        <v>38837</v>
      </c>
      <c r="F117" s="3">
        <f>IF(Table13[[#This Row],[Salary]]="N/A",AVERAGEIF(Table13[Department],Table13[[#This Row],[Department]],Table13[Salary]),Table13[[#This Row],[Salary]])</f>
        <v>38837</v>
      </c>
      <c r="G117" s="10">
        <v>42820</v>
      </c>
      <c r="H117" s="10">
        <f>IF(Table13[[#This Row],[Date of Joining]]="",MEDIAN($G$2:$G$30),Table13[[#This Row],[Date of Joining]])</f>
        <v>42820</v>
      </c>
      <c r="I117" s="8">
        <v>5</v>
      </c>
      <c r="J117" s="8">
        <f>IF(Table13[[#This Row],[Performance Rating]]="",AVERAGE(Table13[Performance Rating]),Table13[[#This Row],[Performance Rating]])</f>
        <v>5</v>
      </c>
      <c r="K117" t="s">
        <v>181</v>
      </c>
      <c r="L117" t="s">
        <v>239</v>
      </c>
      <c r="M117" t="str">
        <f>IF(Table13[[#This Row],[Email]]="invalid_email","Unknown",Table13[[#This Row],[Email]])</f>
        <v>user192@example.com</v>
      </c>
    </row>
    <row r="118" spans="1:13" x14ac:dyDescent="0.3">
      <c r="A118" t="s">
        <v>126</v>
      </c>
      <c r="B118" t="s">
        <v>165</v>
      </c>
      <c r="C118" t="s">
        <v>170</v>
      </c>
      <c r="E118" s="3">
        <v>73483</v>
      </c>
      <c r="F118" s="3">
        <f>IF(Table13[[#This Row],[Salary]]="N/A",AVERAGEIF(Table13[Department],Table13[[#This Row],[Department]],Table13[Salary]),Table13[[#This Row],[Salary]])</f>
        <v>73483</v>
      </c>
      <c r="G118" s="10">
        <v>42827</v>
      </c>
      <c r="H118" s="10">
        <f>IF(Table13[[#This Row],[Date of Joining]]="",MEDIAN($G$2:$G$30),Table13[[#This Row],[Date of Joining]])</f>
        <v>42827</v>
      </c>
      <c r="I118" s="8">
        <v>1</v>
      </c>
      <c r="J118" s="8">
        <f>IF(Table13[[#This Row],[Performance Rating]]="",AVERAGE(Table13[Performance Rating]),Table13[[#This Row],[Performance Rating]])</f>
        <v>1</v>
      </c>
      <c r="L118" t="s">
        <v>266</v>
      </c>
      <c r="M118" t="str">
        <f>IF(Table13[[#This Row],[Email]]="invalid_email","Unknown",Table13[[#This Row],[Email]])</f>
        <v>user137@example.com</v>
      </c>
    </row>
    <row r="119" spans="1:13" x14ac:dyDescent="0.3">
      <c r="A119" t="s">
        <v>127</v>
      </c>
      <c r="B119" t="s">
        <v>164</v>
      </c>
      <c r="C119" t="s">
        <v>168</v>
      </c>
      <c r="D119" t="s">
        <v>174</v>
      </c>
      <c r="E119" s="3">
        <v>95032</v>
      </c>
      <c r="F119" s="3">
        <f>IF(Table13[[#This Row],[Salary]]="N/A",AVERAGEIF(Table13[Department],Table13[[#This Row],[Department]],Table13[Salary]),Table13[[#This Row],[Salary]])</f>
        <v>95032</v>
      </c>
      <c r="G119" s="10">
        <v>42834</v>
      </c>
      <c r="H119" s="10">
        <f>IF(Table13[[#This Row],[Date of Joining]]="",MEDIAN($G$2:$G$30),Table13[[#This Row],[Date of Joining]])</f>
        <v>42834</v>
      </c>
      <c r="I119" s="8">
        <v>3</v>
      </c>
      <c r="J119" s="8">
        <f>IF(Table13[[#This Row],[Performance Rating]]="",AVERAGE(Table13[Performance Rating]),Table13[[#This Row],[Performance Rating]])</f>
        <v>3</v>
      </c>
      <c r="L119" t="s">
        <v>267</v>
      </c>
      <c r="M119" t="str">
        <f>IF(Table13[[#This Row],[Email]]="invalid_email","Unknown",Table13[[#This Row],[Email]])</f>
        <v>user23@example.com</v>
      </c>
    </row>
    <row r="120" spans="1:13" x14ac:dyDescent="0.3">
      <c r="A120" t="s">
        <v>128</v>
      </c>
      <c r="B120" t="s">
        <v>159</v>
      </c>
      <c r="C120" t="s">
        <v>168</v>
      </c>
      <c r="D120" t="s">
        <v>176</v>
      </c>
      <c r="E120" s="3">
        <v>44358</v>
      </c>
      <c r="F120" s="3">
        <f>IF(Table13[[#This Row],[Salary]]="N/A",AVERAGEIF(Table13[Department],Table13[[#This Row],[Department]],Table13[Salary]),Table13[[#This Row],[Salary]])</f>
        <v>44358</v>
      </c>
      <c r="G120" s="10">
        <v>42841</v>
      </c>
      <c r="H120" s="10">
        <f>IF(Table13[[#This Row],[Date of Joining]]="",MEDIAN($G$2:$G$30),Table13[[#This Row],[Date of Joining]])</f>
        <v>42841</v>
      </c>
      <c r="J120" s="8">
        <f>IF(Table13[[#This Row],[Performance Rating]]="",AVERAGE(Table13[Performance Rating]),Table13[[#This Row],[Performance Rating]])</f>
        <v>2.879032258064516</v>
      </c>
      <c r="K120" t="s">
        <v>181</v>
      </c>
      <c r="L120" t="s">
        <v>200</v>
      </c>
      <c r="M120" t="str">
        <f>IF(Table13[[#This Row],[Email]]="invalid_email","Unknown",Table13[[#This Row],[Email]])</f>
        <v>user200@example.com</v>
      </c>
    </row>
    <row r="121" spans="1:13" x14ac:dyDescent="0.3">
      <c r="A121" t="s">
        <v>129</v>
      </c>
      <c r="B121" t="s">
        <v>178</v>
      </c>
      <c r="C121" t="s">
        <v>169</v>
      </c>
      <c r="D121" t="s">
        <v>173</v>
      </c>
      <c r="E121" s="3" t="s">
        <v>177</v>
      </c>
      <c r="F121" s="3">
        <f>IF(Table13[[#This Row],[Salary]]="N/A",AVERAGEIF(Table13[Department],Table13[[#This Row],[Department]],Table13[Salary]),Table13[[#This Row],[Salary]])</f>
        <v>66157.5</v>
      </c>
      <c r="H121" s="10">
        <f>IF(Table13[[#This Row],[Date of Joining]]="",MEDIAN($G$2:$G$30),Table13[[#This Row],[Date of Joining]])</f>
        <v>42113</v>
      </c>
      <c r="I121" s="8">
        <v>5</v>
      </c>
      <c r="J121" s="8">
        <f>IF(Table13[[#This Row],[Performance Rating]]="",AVERAGE(Table13[Performance Rating]),Table13[[#This Row],[Performance Rating]])</f>
        <v>5</v>
      </c>
      <c r="K121" t="s">
        <v>178</v>
      </c>
      <c r="L121" t="s">
        <v>268</v>
      </c>
      <c r="M121" t="str">
        <f>IF(Table13[[#This Row],[Email]]="invalid_email","Unknown",Table13[[#This Row],[Email]])</f>
        <v>user101@example.com</v>
      </c>
    </row>
    <row r="122" spans="1:13" x14ac:dyDescent="0.3">
      <c r="A122" t="s">
        <v>130</v>
      </c>
      <c r="B122" t="s">
        <v>164</v>
      </c>
      <c r="C122" t="s">
        <v>168</v>
      </c>
      <c r="D122" t="s">
        <v>173</v>
      </c>
      <c r="E122" s="3">
        <v>45676</v>
      </c>
      <c r="F122" s="3">
        <f>IF(Table13[[#This Row],[Salary]]="N/A",AVERAGEIF(Table13[Department],Table13[[#This Row],[Department]],Table13[Salary]),Table13[[#This Row],[Salary]])</f>
        <v>45676</v>
      </c>
      <c r="G122" s="10">
        <v>42855</v>
      </c>
      <c r="H122" s="10">
        <f>IF(Table13[[#This Row],[Date of Joining]]="",MEDIAN($G$2:$G$30),Table13[[#This Row],[Date of Joining]])</f>
        <v>42855</v>
      </c>
      <c r="I122" s="8">
        <v>2</v>
      </c>
      <c r="J122" s="8">
        <f>IF(Table13[[#This Row],[Performance Rating]]="",AVERAGE(Table13[Performance Rating]),Table13[[#This Row],[Performance Rating]])</f>
        <v>2</v>
      </c>
      <c r="L122" t="s">
        <v>269</v>
      </c>
      <c r="M122" t="str">
        <f>IF(Table13[[#This Row],[Email]]="invalid_email","Unknown",Table13[[#This Row],[Email]])</f>
        <v>user132@example.com</v>
      </c>
    </row>
    <row r="123" spans="1:13" x14ac:dyDescent="0.3">
      <c r="A123" t="s">
        <v>131</v>
      </c>
      <c r="B123" t="s">
        <v>165</v>
      </c>
      <c r="C123" t="s">
        <v>168</v>
      </c>
      <c r="D123" t="s">
        <v>172</v>
      </c>
      <c r="E123" s="3">
        <v>52036</v>
      </c>
      <c r="F123" s="3">
        <f>IF(Table13[[#This Row],[Salary]]="N/A",AVERAGEIF(Table13[Department],Table13[[#This Row],[Department]],Table13[Salary]),Table13[[#This Row],[Salary]])</f>
        <v>52036</v>
      </c>
      <c r="G123" s="10">
        <v>42862</v>
      </c>
      <c r="H123" s="10">
        <f>IF(Table13[[#This Row],[Date of Joining]]="",MEDIAN($G$2:$G$30),Table13[[#This Row],[Date of Joining]])</f>
        <v>42862</v>
      </c>
      <c r="I123" s="8">
        <v>3</v>
      </c>
      <c r="J123" s="8">
        <f>IF(Table13[[#This Row],[Performance Rating]]="",AVERAGE(Table13[Performance Rating]),Table13[[#This Row],[Performance Rating]])</f>
        <v>3</v>
      </c>
      <c r="K123" t="s">
        <v>180</v>
      </c>
      <c r="L123" t="s">
        <v>270</v>
      </c>
      <c r="M123" t="str">
        <f>IF(Table13[[#This Row],[Email]]="invalid_email","Unknown",Table13[[#This Row],[Email]])</f>
        <v>user171@example.com</v>
      </c>
    </row>
    <row r="124" spans="1:13" x14ac:dyDescent="0.3">
      <c r="A124" t="s">
        <v>132</v>
      </c>
      <c r="B124" t="s">
        <v>162</v>
      </c>
      <c r="D124" t="s">
        <v>172</v>
      </c>
      <c r="E124" s="3">
        <v>30357</v>
      </c>
      <c r="F124" s="3">
        <f>IF(Table13[[#This Row],[Salary]]="N/A",AVERAGEIF(Table13[Department],Table13[[#This Row],[Department]],Table13[Salary]),Table13[[#This Row],[Salary]])</f>
        <v>30357</v>
      </c>
      <c r="G124" s="10">
        <v>42869</v>
      </c>
      <c r="H124" s="10">
        <f>IF(Table13[[#This Row],[Date of Joining]]="",MEDIAN($G$2:$G$30),Table13[[#This Row],[Date of Joining]])</f>
        <v>42869</v>
      </c>
      <c r="I124" s="8">
        <v>5</v>
      </c>
      <c r="J124" s="8">
        <f>IF(Table13[[#This Row],[Performance Rating]]="",AVERAGE(Table13[Performance Rating]),Table13[[#This Row],[Performance Rating]])</f>
        <v>5</v>
      </c>
      <c r="K124" t="s">
        <v>180</v>
      </c>
      <c r="L124" t="s">
        <v>248</v>
      </c>
      <c r="M124" t="str">
        <f>IF(Table13[[#This Row],[Email]]="invalid_email","Unknown",Table13[[#This Row],[Email]])</f>
        <v>user145@example.com</v>
      </c>
    </row>
    <row r="125" spans="1:13" x14ac:dyDescent="0.3">
      <c r="A125" t="s">
        <v>133</v>
      </c>
      <c r="B125" t="s">
        <v>161</v>
      </c>
      <c r="C125" t="s">
        <v>169</v>
      </c>
      <c r="E125" s="3">
        <v>60034</v>
      </c>
      <c r="F125" s="3">
        <f>IF(Table13[[#This Row],[Salary]]="N/A",AVERAGEIF(Table13[Department],Table13[[#This Row],[Department]],Table13[Salary]),Table13[[#This Row],[Salary]])</f>
        <v>60034</v>
      </c>
      <c r="G125" s="10">
        <v>42876</v>
      </c>
      <c r="H125" s="10">
        <f>IF(Table13[[#This Row],[Date of Joining]]="",MEDIAN($G$2:$G$30),Table13[[#This Row],[Date of Joining]])</f>
        <v>42876</v>
      </c>
      <c r="I125" s="8">
        <v>1</v>
      </c>
      <c r="J125" s="8">
        <f>IF(Table13[[#This Row],[Performance Rating]]="",AVERAGE(Table13[Performance Rating]),Table13[[#This Row],[Performance Rating]])</f>
        <v>1</v>
      </c>
      <c r="K125" t="s">
        <v>181</v>
      </c>
      <c r="L125" t="s">
        <v>271</v>
      </c>
      <c r="M125" t="str">
        <f>IF(Table13[[#This Row],[Email]]="invalid_email","Unknown",Table13[[#This Row],[Email]])</f>
        <v>user75@example.com</v>
      </c>
    </row>
    <row r="126" spans="1:13" x14ac:dyDescent="0.3">
      <c r="A126" t="s">
        <v>134</v>
      </c>
      <c r="B126" t="s">
        <v>161</v>
      </c>
      <c r="C126" t="s">
        <v>166</v>
      </c>
      <c r="D126" t="s">
        <v>171</v>
      </c>
      <c r="E126" s="3">
        <v>90019</v>
      </c>
      <c r="F126" s="3">
        <f>IF(Table13[[#This Row],[Salary]]="N/A",AVERAGEIF(Table13[Department],Table13[[#This Row],[Department]],Table13[Salary]),Table13[[#This Row],[Salary]])</f>
        <v>90019</v>
      </c>
      <c r="G126" s="10">
        <v>42883</v>
      </c>
      <c r="H126" s="10">
        <f>IF(Table13[[#This Row],[Date of Joining]]="",MEDIAN($G$2:$G$30),Table13[[#This Row],[Date of Joining]])</f>
        <v>42883</v>
      </c>
      <c r="I126" s="8">
        <v>5</v>
      </c>
      <c r="J126" s="8">
        <f>IF(Table13[[#This Row],[Performance Rating]]="",AVERAGE(Table13[Performance Rating]),Table13[[#This Row],[Performance Rating]])</f>
        <v>5</v>
      </c>
      <c r="L126" t="s">
        <v>272</v>
      </c>
      <c r="M126" t="str">
        <f>IF(Table13[[#This Row],[Email]]="invalid_email","Unknown",Table13[[#This Row],[Email]])</f>
        <v>user52@example.com</v>
      </c>
    </row>
    <row r="127" spans="1:13" x14ac:dyDescent="0.3">
      <c r="A127" t="s">
        <v>135</v>
      </c>
      <c r="B127" t="s">
        <v>165</v>
      </c>
      <c r="D127" t="s">
        <v>172</v>
      </c>
      <c r="E127" s="3">
        <v>71494</v>
      </c>
      <c r="F127" s="3">
        <f>IF(Table13[[#This Row],[Salary]]="N/A",AVERAGEIF(Table13[Department],Table13[[#This Row],[Department]],Table13[Salary]),Table13[[#This Row],[Salary]])</f>
        <v>71494</v>
      </c>
      <c r="G127" s="10">
        <v>42890</v>
      </c>
      <c r="H127" s="10">
        <f>IF(Table13[[#This Row],[Date of Joining]]="",MEDIAN($G$2:$G$30),Table13[[#This Row],[Date of Joining]])</f>
        <v>42890</v>
      </c>
      <c r="I127" s="8">
        <v>3</v>
      </c>
      <c r="J127" s="8">
        <f>IF(Table13[[#This Row],[Performance Rating]]="",AVERAGE(Table13[Performance Rating]),Table13[[#This Row],[Performance Rating]])</f>
        <v>3</v>
      </c>
      <c r="K127" t="s">
        <v>180</v>
      </c>
      <c r="L127" t="s">
        <v>273</v>
      </c>
      <c r="M127" t="str">
        <f>IF(Table13[[#This Row],[Email]]="invalid_email","Unknown",Table13[[#This Row],[Email]])</f>
        <v>user100@example.com</v>
      </c>
    </row>
    <row r="128" spans="1:13" x14ac:dyDescent="0.3">
      <c r="A128" t="s">
        <v>136</v>
      </c>
      <c r="B128" t="s">
        <v>161</v>
      </c>
      <c r="C128" t="s">
        <v>166</v>
      </c>
      <c r="D128" t="s">
        <v>173</v>
      </c>
      <c r="E128" s="3">
        <v>91953</v>
      </c>
      <c r="F128" s="3">
        <f>IF(Table13[[#This Row],[Salary]]="N/A",AVERAGEIF(Table13[Department],Table13[[#This Row],[Department]],Table13[Salary]),Table13[[#This Row],[Salary]])</f>
        <v>91953</v>
      </c>
      <c r="G128" s="10">
        <v>42897</v>
      </c>
      <c r="H128" s="10">
        <f>IF(Table13[[#This Row],[Date of Joining]]="",MEDIAN($G$2:$G$30),Table13[[#This Row],[Date of Joining]])</f>
        <v>42897</v>
      </c>
      <c r="I128" s="8">
        <v>2</v>
      </c>
      <c r="J128" s="8">
        <f>IF(Table13[[#This Row],[Performance Rating]]="",AVERAGE(Table13[Performance Rating]),Table13[[#This Row],[Performance Rating]])</f>
        <v>2</v>
      </c>
      <c r="K128" t="s">
        <v>180</v>
      </c>
      <c r="L128" t="s">
        <v>209</v>
      </c>
      <c r="M128" t="str">
        <f>IF(Table13[[#This Row],[Email]]="invalid_email","Unknown",Table13[[#This Row],[Email]])</f>
        <v>user83@example.com</v>
      </c>
    </row>
    <row r="129" spans="1:13" x14ac:dyDescent="0.3">
      <c r="A129" t="s">
        <v>137</v>
      </c>
      <c r="B129" t="s">
        <v>164</v>
      </c>
      <c r="C129" t="s">
        <v>168</v>
      </c>
      <c r="D129" t="s">
        <v>173</v>
      </c>
      <c r="E129" s="3">
        <v>30402</v>
      </c>
      <c r="F129" s="3">
        <f>IF(Table13[[#This Row],[Salary]]="N/A",AVERAGEIF(Table13[Department],Table13[[#This Row],[Department]],Table13[Salary]),Table13[[#This Row],[Salary]])</f>
        <v>30402</v>
      </c>
      <c r="G129" s="10">
        <v>42904</v>
      </c>
      <c r="H129" s="10">
        <f>IF(Table13[[#This Row],[Date of Joining]]="",MEDIAN($G$2:$G$30),Table13[[#This Row],[Date of Joining]])</f>
        <v>42904</v>
      </c>
      <c r="I129" s="8">
        <v>1</v>
      </c>
      <c r="J129" s="8">
        <f>IF(Table13[[#This Row],[Performance Rating]]="",AVERAGE(Table13[Performance Rating]),Table13[[#This Row],[Performance Rating]])</f>
        <v>1</v>
      </c>
      <c r="L129" t="s">
        <v>274</v>
      </c>
      <c r="M129" t="str">
        <f>IF(Table13[[#This Row],[Email]]="invalid_email","Unknown",Table13[[#This Row],[Email]])</f>
        <v>user167@example.com</v>
      </c>
    </row>
    <row r="130" spans="1:13" x14ac:dyDescent="0.3">
      <c r="A130" t="s">
        <v>138</v>
      </c>
      <c r="B130" t="s">
        <v>165</v>
      </c>
      <c r="D130" t="s">
        <v>175</v>
      </c>
      <c r="E130" s="3">
        <v>62994</v>
      </c>
      <c r="F130" s="3">
        <f>IF(Table13[[#This Row],[Salary]]="N/A",AVERAGEIF(Table13[Department],Table13[[#This Row],[Department]],Table13[Salary]),Table13[[#This Row],[Salary]])</f>
        <v>62994</v>
      </c>
      <c r="G130" s="10">
        <v>42911</v>
      </c>
      <c r="H130" s="10">
        <f>IF(Table13[[#This Row],[Date of Joining]]="",MEDIAN($G$2:$G$30),Table13[[#This Row],[Date of Joining]])</f>
        <v>42911</v>
      </c>
      <c r="J130" s="8">
        <f>IF(Table13[[#This Row],[Performance Rating]]="",AVERAGE(Table13[Performance Rating]),Table13[[#This Row],[Performance Rating]])</f>
        <v>2.879032258064516</v>
      </c>
      <c r="L130" t="s">
        <v>221</v>
      </c>
      <c r="M130" t="str">
        <f>IF(Table13[[#This Row],[Email]]="invalid_email","Unknown",Table13[[#This Row],[Email]])</f>
        <v>user175@example.com</v>
      </c>
    </row>
    <row r="131" spans="1:13" x14ac:dyDescent="0.3">
      <c r="A131" t="s">
        <v>139</v>
      </c>
      <c r="B131" t="s">
        <v>160</v>
      </c>
      <c r="C131" t="s">
        <v>168</v>
      </c>
      <c r="D131" t="s">
        <v>174</v>
      </c>
      <c r="E131" s="3">
        <v>48289</v>
      </c>
      <c r="F131" s="3">
        <f>IF(Table13[[#This Row],[Salary]]="N/A",AVERAGEIF(Table13[Department],Table13[[#This Row],[Department]],Table13[Salary]),Table13[[#This Row],[Salary]])</f>
        <v>48289</v>
      </c>
      <c r="H131" s="10">
        <f>IF(Table13[[#This Row],[Date of Joining]]="",MEDIAN($G$2:$G$30),Table13[[#This Row],[Date of Joining]])</f>
        <v>42113</v>
      </c>
      <c r="I131" s="8">
        <v>3</v>
      </c>
      <c r="J131" s="8">
        <f>IF(Table13[[#This Row],[Performance Rating]]="",AVERAGE(Table13[Performance Rating]),Table13[[#This Row],[Performance Rating]])</f>
        <v>3</v>
      </c>
      <c r="K131" t="s">
        <v>180</v>
      </c>
      <c r="L131" t="s">
        <v>189</v>
      </c>
      <c r="M131" t="str">
        <f>IF(Table13[[#This Row],[Email]]="invalid_email","Unknown",Table13[[#This Row],[Email]])</f>
        <v>user25@example.com</v>
      </c>
    </row>
    <row r="132" spans="1:13" x14ac:dyDescent="0.3">
      <c r="A132" t="s">
        <v>140</v>
      </c>
      <c r="B132" t="s">
        <v>163</v>
      </c>
      <c r="C132" t="s">
        <v>170</v>
      </c>
      <c r="D132" t="s">
        <v>172</v>
      </c>
      <c r="E132" s="3">
        <v>34402</v>
      </c>
      <c r="F132" s="3">
        <f>IF(Table13[[#This Row],[Salary]]="N/A",AVERAGEIF(Table13[Department],Table13[[#This Row],[Department]],Table13[Salary]),Table13[[#This Row],[Salary]])</f>
        <v>34402</v>
      </c>
      <c r="G132" s="10">
        <v>42925</v>
      </c>
      <c r="H132" s="10">
        <f>IF(Table13[[#This Row],[Date of Joining]]="",MEDIAN($G$2:$G$30),Table13[[#This Row],[Date of Joining]])</f>
        <v>42925</v>
      </c>
      <c r="I132" s="8">
        <v>3</v>
      </c>
      <c r="J132" s="8">
        <f>IF(Table13[[#This Row],[Performance Rating]]="",AVERAGE(Table13[Performance Rating]),Table13[[#This Row],[Performance Rating]])</f>
        <v>3</v>
      </c>
      <c r="K132" t="s">
        <v>179</v>
      </c>
      <c r="L132" t="s">
        <v>218</v>
      </c>
      <c r="M132" t="str">
        <f>IF(Table13[[#This Row],[Email]]="invalid_email","Unknown",Table13[[#This Row],[Email]])</f>
        <v>user42@example.com</v>
      </c>
    </row>
    <row r="133" spans="1:13" x14ac:dyDescent="0.3">
      <c r="A133" t="s">
        <v>141</v>
      </c>
      <c r="B133" t="s">
        <v>159</v>
      </c>
      <c r="C133" t="s">
        <v>167</v>
      </c>
      <c r="D133" t="s">
        <v>173</v>
      </c>
      <c r="E133" s="3">
        <v>38678</v>
      </c>
      <c r="F133" s="3">
        <f>IF(Table13[[#This Row],[Salary]]="N/A",AVERAGEIF(Table13[Department],Table13[[#This Row],[Department]],Table13[Salary]),Table13[[#This Row],[Salary]])</f>
        <v>38678</v>
      </c>
      <c r="G133" s="10">
        <v>42932</v>
      </c>
      <c r="H133" s="10">
        <f>IF(Table13[[#This Row],[Date of Joining]]="",MEDIAN($G$2:$G$30),Table13[[#This Row],[Date of Joining]])</f>
        <v>42932</v>
      </c>
      <c r="I133" s="8">
        <v>3</v>
      </c>
      <c r="J133" s="8">
        <f>IF(Table13[[#This Row],[Performance Rating]]="",AVERAGE(Table13[Performance Rating]),Table13[[#This Row],[Performance Rating]])</f>
        <v>3</v>
      </c>
      <c r="K133" t="s">
        <v>179</v>
      </c>
      <c r="L133" t="s">
        <v>275</v>
      </c>
      <c r="M133" t="str">
        <f>IF(Table13[[#This Row],[Email]]="invalid_email","Unknown",Table13[[#This Row],[Email]])</f>
        <v>user188@example.com</v>
      </c>
    </row>
    <row r="134" spans="1:13" x14ac:dyDescent="0.3">
      <c r="A134" t="s">
        <v>142</v>
      </c>
      <c r="B134" t="s">
        <v>164</v>
      </c>
      <c r="C134" t="s">
        <v>167</v>
      </c>
      <c r="D134" t="s">
        <v>172</v>
      </c>
      <c r="E134" s="3">
        <v>45758</v>
      </c>
      <c r="F134" s="3">
        <f>IF(Table13[[#This Row],[Salary]]="N/A",AVERAGEIF(Table13[Department],Table13[[#This Row],[Department]],Table13[Salary]),Table13[[#This Row],[Salary]])</f>
        <v>45758</v>
      </c>
      <c r="G134" s="10">
        <v>42939</v>
      </c>
      <c r="H134" s="10">
        <f>IF(Table13[[#This Row],[Date of Joining]]="",MEDIAN($G$2:$G$30),Table13[[#This Row],[Date of Joining]])</f>
        <v>42939</v>
      </c>
      <c r="I134" s="8">
        <v>3</v>
      </c>
      <c r="J134" s="8">
        <f>IF(Table13[[#This Row],[Performance Rating]]="",AVERAGE(Table13[Performance Rating]),Table13[[#This Row],[Performance Rating]])</f>
        <v>3</v>
      </c>
      <c r="L134" t="s">
        <v>264</v>
      </c>
      <c r="M134" t="str">
        <f>IF(Table13[[#This Row],[Email]]="invalid_email","Unknown",Table13[[#This Row],[Email]])</f>
        <v>user44@example.com</v>
      </c>
    </row>
    <row r="135" spans="1:13" x14ac:dyDescent="0.3">
      <c r="A135" t="s">
        <v>143</v>
      </c>
      <c r="B135" t="s">
        <v>159</v>
      </c>
      <c r="C135" t="s">
        <v>170</v>
      </c>
      <c r="D135" t="s">
        <v>174</v>
      </c>
      <c r="E135" s="3">
        <v>62476</v>
      </c>
      <c r="F135" s="3">
        <f>IF(Table13[[#This Row],[Salary]]="N/A",AVERAGEIF(Table13[Department],Table13[[#This Row],[Department]],Table13[Salary]),Table13[[#This Row],[Salary]])</f>
        <v>62476</v>
      </c>
      <c r="G135" s="10">
        <v>42946</v>
      </c>
      <c r="H135" s="10">
        <f>IF(Table13[[#This Row],[Date of Joining]]="",MEDIAN($G$2:$G$30),Table13[[#This Row],[Date of Joining]])</f>
        <v>42946</v>
      </c>
      <c r="I135" s="8">
        <v>1</v>
      </c>
      <c r="J135" s="8">
        <f>IF(Table13[[#This Row],[Performance Rating]]="",AVERAGE(Table13[Performance Rating]),Table13[[#This Row],[Performance Rating]])</f>
        <v>1</v>
      </c>
      <c r="K135" t="s">
        <v>179</v>
      </c>
      <c r="L135" t="s">
        <v>231</v>
      </c>
      <c r="M135" t="str">
        <f>IF(Table13[[#This Row],[Email]]="invalid_email","Unknown",Table13[[#This Row],[Email]])</f>
        <v>user63@example.com</v>
      </c>
    </row>
    <row r="136" spans="1:13" x14ac:dyDescent="0.3">
      <c r="A136" t="s">
        <v>144</v>
      </c>
      <c r="B136" t="s">
        <v>178</v>
      </c>
      <c r="C136" t="s">
        <v>169</v>
      </c>
      <c r="D136" t="s">
        <v>175</v>
      </c>
      <c r="E136" s="3">
        <v>39280</v>
      </c>
      <c r="F136" s="3">
        <f>IF(Table13[[#This Row],[Salary]]="N/A",AVERAGEIF(Table13[Department],Table13[[#This Row],[Department]],Table13[Salary]),Table13[[#This Row],[Salary]])</f>
        <v>39280</v>
      </c>
      <c r="G136" s="10">
        <v>42953</v>
      </c>
      <c r="H136" s="10">
        <f>IF(Table13[[#This Row],[Date of Joining]]="",MEDIAN($G$2:$G$30),Table13[[#This Row],[Date of Joining]])</f>
        <v>42953</v>
      </c>
      <c r="I136" s="8">
        <v>3</v>
      </c>
      <c r="J136" s="8">
        <f>IF(Table13[[#This Row],[Performance Rating]]="",AVERAGE(Table13[Performance Rating]),Table13[[#This Row],[Performance Rating]])</f>
        <v>3</v>
      </c>
      <c r="K136" t="s">
        <v>181</v>
      </c>
      <c r="L136" t="s">
        <v>214</v>
      </c>
      <c r="M136" t="str">
        <f>IF(Table13[[#This Row],[Email]]="invalid_email","Unknown",Table13[[#This Row],[Email]])</f>
        <v>user198@example.com</v>
      </c>
    </row>
    <row r="137" spans="1:13" x14ac:dyDescent="0.3">
      <c r="A137" t="s">
        <v>145</v>
      </c>
      <c r="B137" t="s">
        <v>162</v>
      </c>
      <c r="C137" t="s">
        <v>166</v>
      </c>
      <c r="D137" t="s">
        <v>174</v>
      </c>
      <c r="E137" s="3">
        <v>60335</v>
      </c>
      <c r="F137" s="3">
        <f>IF(Table13[[#This Row],[Salary]]="N/A",AVERAGEIF(Table13[Department],Table13[[#This Row],[Department]],Table13[Salary]),Table13[[#This Row],[Salary]])</f>
        <v>60335</v>
      </c>
      <c r="G137" s="10">
        <v>42960</v>
      </c>
      <c r="H137" s="10">
        <f>IF(Table13[[#This Row],[Date of Joining]]="",MEDIAN($G$2:$G$30),Table13[[#This Row],[Date of Joining]])</f>
        <v>42960</v>
      </c>
      <c r="I137" s="8">
        <v>4</v>
      </c>
      <c r="J137" s="8">
        <f>IF(Table13[[#This Row],[Performance Rating]]="",AVERAGE(Table13[Performance Rating]),Table13[[#This Row],[Performance Rating]])</f>
        <v>4</v>
      </c>
      <c r="K137" t="s">
        <v>179</v>
      </c>
      <c r="L137" t="s">
        <v>227</v>
      </c>
      <c r="M137" t="str">
        <f>IF(Table13[[#This Row],[Email]]="invalid_email","Unknown",Table13[[#This Row],[Email]])</f>
        <v>user59@example.com</v>
      </c>
    </row>
    <row r="138" spans="1:13" x14ac:dyDescent="0.3">
      <c r="A138" t="s">
        <v>146</v>
      </c>
      <c r="B138" t="s">
        <v>164</v>
      </c>
      <c r="C138" t="s">
        <v>167</v>
      </c>
      <c r="D138" t="s">
        <v>172</v>
      </c>
      <c r="E138" s="3">
        <v>84968</v>
      </c>
      <c r="F138" s="3">
        <f>IF(Table13[[#This Row],[Salary]]="N/A",AVERAGEIF(Table13[Department],Table13[[#This Row],[Department]],Table13[Salary]),Table13[[#This Row],[Salary]])</f>
        <v>84968</v>
      </c>
      <c r="G138" s="10">
        <v>42967</v>
      </c>
      <c r="H138" s="10">
        <f>IF(Table13[[#This Row],[Date of Joining]]="",MEDIAN($G$2:$G$30),Table13[[#This Row],[Date of Joining]])</f>
        <v>42967</v>
      </c>
      <c r="J138" s="8">
        <f>IF(Table13[[#This Row],[Performance Rating]]="",AVERAGE(Table13[Performance Rating]),Table13[[#This Row],[Performance Rating]])</f>
        <v>2.879032258064516</v>
      </c>
      <c r="L138" t="s">
        <v>276</v>
      </c>
      <c r="M138" t="str">
        <f>IF(Table13[[#This Row],[Email]]="invalid_email","Unknown",Table13[[#This Row],[Email]])</f>
        <v>user165@example.com</v>
      </c>
    </row>
    <row r="139" spans="1:13" x14ac:dyDescent="0.3">
      <c r="A139" t="s">
        <v>147</v>
      </c>
      <c r="B139" t="s">
        <v>164</v>
      </c>
      <c r="C139" t="s">
        <v>170</v>
      </c>
      <c r="D139" t="s">
        <v>176</v>
      </c>
      <c r="E139" s="3">
        <v>84750</v>
      </c>
      <c r="F139" s="3">
        <f>IF(Table13[[#This Row],[Salary]]="N/A",AVERAGEIF(Table13[Department],Table13[[#This Row],[Department]],Table13[Salary]),Table13[[#This Row],[Salary]])</f>
        <v>84750</v>
      </c>
      <c r="G139" s="10">
        <v>42974</v>
      </c>
      <c r="H139" s="10">
        <f>IF(Table13[[#This Row],[Date of Joining]]="",MEDIAN($G$2:$G$30),Table13[[#This Row],[Date of Joining]])</f>
        <v>42974</v>
      </c>
      <c r="I139" s="8">
        <v>4</v>
      </c>
      <c r="J139" s="8">
        <f>IF(Table13[[#This Row],[Performance Rating]]="",AVERAGE(Table13[Performance Rating]),Table13[[#This Row],[Performance Rating]])</f>
        <v>4</v>
      </c>
      <c r="K139" t="s">
        <v>181</v>
      </c>
      <c r="L139" t="s">
        <v>195</v>
      </c>
      <c r="M139" t="str">
        <f>IF(Table13[[#This Row],[Email]]="invalid_email","Unknown",Table13[[#This Row],[Email]])</f>
        <v>user3@example.com</v>
      </c>
    </row>
    <row r="140" spans="1:13" x14ac:dyDescent="0.3">
      <c r="A140" t="s">
        <v>148</v>
      </c>
      <c r="B140" t="s">
        <v>165</v>
      </c>
      <c r="C140" t="s">
        <v>169</v>
      </c>
      <c r="E140" s="3">
        <v>73348</v>
      </c>
      <c r="F140" s="3">
        <f>IF(Table13[[#This Row],[Salary]]="N/A",AVERAGEIF(Table13[Department],Table13[[#This Row],[Department]],Table13[Salary]),Table13[[#This Row],[Salary]])</f>
        <v>73348</v>
      </c>
      <c r="G140" s="10">
        <v>42981</v>
      </c>
      <c r="H140" s="10">
        <f>IF(Table13[[#This Row],[Date of Joining]]="",MEDIAN($G$2:$G$30),Table13[[#This Row],[Date of Joining]])</f>
        <v>42981</v>
      </c>
      <c r="I140" s="8">
        <v>2</v>
      </c>
      <c r="J140" s="8">
        <f>IF(Table13[[#This Row],[Performance Rating]]="",AVERAGE(Table13[Performance Rating]),Table13[[#This Row],[Performance Rating]])</f>
        <v>2</v>
      </c>
      <c r="L140" t="s">
        <v>243</v>
      </c>
      <c r="M140" t="str">
        <f>IF(Table13[[#This Row],[Email]]="invalid_email","Unknown",Table13[[#This Row],[Email]])</f>
        <v>user22@example.com</v>
      </c>
    </row>
    <row r="141" spans="1:13" x14ac:dyDescent="0.3">
      <c r="A141" t="s">
        <v>149</v>
      </c>
      <c r="B141" t="s">
        <v>164</v>
      </c>
      <c r="C141" t="s">
        <v>168</v>
      </c>
      <c r="D141" t="s">
        <v>173</v>
      </c>
      <c r="E141" s="3" t="s">
        <v>177</v>
      </c>
      <c r="F141" s="3">
        <f>IF(Table13[[#This Row],[Salary]]="N/A",AVERAGEIF(Table13[Department],Table13[[#This Row],[Department]],Table13[Salary]),Table13[[#This Row],[Salary]])</f>
        <v>67929.08</v>
      </c>
      <c r="G141" s="10">
        <v>42988</v>
      </c>
      <c r="H141" s="10">
        <f>IF(Table13[[#This Row],[Date of Joining]]="",MEDIAN($G$2:$G$30),Table13[[#This Row],[Date of Joining]])</f>
        <v>42988</v>
      </c>
      <c r="I141" s="8">
        <v>4</v>
      </c>
      <c r="J141" s="8">
        <f>IF(Table13[[#This Row],[Performance Rating]]="",AVERAGE(Table13[Performance Rating]),Table13[[#This Row],[Performance Rating]])</f>
        <v>4</v>
      </c>
      <c r="K141" t="s">
        <v>179</v>
      </c>
      <c r="L141" t="s">
        <v>182</v>
      </c>
      <c r="M141" t="str">
        <f>IF(Table13[[#This Row],[Email]]="invalid_email","Unknown",Table13[[#This Row],[Email]])</f>
        <v>Unknown</v>
      </c>
    </row>
    <row r="142" spans="1:13" x14ac:dyDescent="0.3">
      <c r="A142" t="s">
        <v>150</v>
      </c>
      <c r="B142" t="s">
        <v>162</v>
      </c>
      <c r="C142" t="s">
        <v>170</v>
      </c>
      <c r="D142" t="s">
        <v>173</v>
      </c>
      <c r="E142" s="3">
        <v>66882</v>
      </c>
      <c r="F142" s="3">
        <f>IF(Table13[[#This Row],[Salary]]="N/A",AVERAGEIF(Table13[Department],Table13[[#This Row],[Department]],Table13[Salary]),Table13[[#This Row],[Salary]])</f>
        <v>66882</v>
      </c>
      <c r="G142" s="10">
        <v>42995</v>
      </c>
      <c r="H142" s="10">
        <f>IF(Table13[[#This Row],[Date of Joining]]="",MEDIAN($G$2:$G$30),Table13[[#This Row],[Date of Joining]])</f>
        <v>42995</v>
      </c>
      <c r="I142" s="8">
        <v>5</v>
      </c>
      <c r="J142" s="8">
        <f>IF(Table13[[#This Row],[Performance Rating]]="",AVERAGE(Table13[Performance Rating]),Table13[[#This Row],[Performance Rating]])</f>
        <v>5</v>
      </c>
      <c r="K142" t="s">
        <v>179</v>
      </c>
      <c r="L142" t="s">
        <v>207</v>
      </c>
      <c r="M142" t="str">
        <f>IF(Table13[[#This Row],[Email]]="invalid_email","Unknown",Table13[[#This Row],[Email]])</f>
        <v>user103@example.com</v>
      </c>
    </row>
    <row r="143" spans="1:13" x14ac:dyDescent="0.3">
      <c r="A143" t="s">
        <v>151</v>
      </c>
      <c r="B143" t="s">
        <v>160</v>
      </c>
      <c r="C143" t="s">
        <v>170</v>
      </c>
      <c r="E143" s="3">
        <v>86775</v>
      </c>
      <c r="F143" s="3">
        <f>IF(Table13[[#This Row],[Salary]]="N/A",AVERAGEIF(Table13[Department],Table13[[#This Row],[Department]],Table13[Salary]),Table13[[#This Row],[Salary]])</f>
        <v>86775</v>
      </c>
      <c r="G143" s="10">
        <v>43002</v>
      </c>
      <c r="H143" s="10">
        <f>IF(Table13[[#This Row],[Date of Joining]]="",MEDIAN($G$2:$G$30),Table13[[#This Row],[Date of Joining]])</f>
        <v>43002</v>
      </c>
      <c r="I143" s="8">
        <v>3</v>
      </c>
      <c r="J143" s="8">
        <f>IF(Table13[[#This Row],[Performance Rating]]="",AVERAGE(Table13[Performance Rating]),Table13[[#This Row],[Performance Rating]])</f>
        <v>3</v>
      </c>
      <c r="K143" t="s">
        <v>179</v>
      </c>
      <c r="L143" t="s">
        <v>212</v>
      </c>
      <c r="M143" t="str">
        <f>IF(Table13[[#This Row],[Email]]="invalid_email","Unknown",Table13[[#This Row],[Email]])</f>
        <v>user190@example.com</v>
      </c>
    </row>
    <row r="144" spans="1:13" x14ac:dyDescent="0.3">
      <c r="A144" t="s">
        <v>152</v>
      </c>
      <c r="B144" t="s">
        <v>164</v>
      </c>
      <c r="C144" t="s">
        <v>168</v>
      </c>
      <c r="D144" t="s">
        <v>175</v>
      </c>
      <c r="E144" s="3">
        <v>91620</v>
      </c>
      <c r="F144" s="3">
        <f>IF(Table13[[#This Row],[Salary]]="N/A",AVERAGEIF(Table13[Department],Table13[[#This Row],[Department]],Table13[Salary]),Table13[[#This Row],[Salary]])</f>
        <v>91620</v>
      </c>
      <c r="G144" s="10">
        <v>43009</v>
      </c>
      <c r="H144" s="10">
        <f>IF(Table13[[#This Row],[Date of Joining]]="",MEDIAN($G$2:$G$30),Table13[[#This Row],[Date of Joining]])</f>
        <v>43009</v>
      </c>
      <c r="J144" s="8">
        <f>IF(Table13[[#This Row],[Performance Rating]]="",AVERAGE(Table13[Performance Rating]),Table13[[#This Row],[Performance Rating]])</f>
        <v>2.879032258064516</v>
      </c>
      <c r="L144" t="s">
        <v>277</v>
      </c>
      <c r="M144" t="str">
        <f>IF(Table13[[#This Row],[Email]]="invalid_email","Unknown",Table13[[#This Row],[Email]])</f>
        <v>user114@example.com</v>
      </c>
    </row>
    <row r="145" spans="1:13" x14ac:dyDescent="0.3">
      <c r="A145" t="s">
        <v>153</v>
      </c>
      <c r="B145" t="s">
        <v>159</v>
      </c>
      <c r="E145" s="3">
        <v>94148</v>
      </c>
      <c r="F145" s="3">
        <f>IF(Table13[[#This Row],[Salary]]="N/A",AVERAGEIF(Table13[Department],Table13[[#This Row],[Department]],Table13[Salary]),Table13[[#This Row],[Salary]])</f>
        <v>94148</v>
      </c>
      <c r="G145" s="10">
        <v>43016</v>
      </c>
      <c r="H145" s="10">
        <f>IF(Table13[[#This Row],[Date of Joining]]="",MEDIAN($G$2:$G$30),Table13[[#This Row],[Date of Joining]])</f>
        <v>43016</v>
      </c>
      <c r="I145" s="8">
        <v>2</v>
      </c>
      <c r="J145" s="8">
        <f>IF(Table13[[#This Row],[Performance Rating]]="",AVERAGE(Table13[Performance Rating]),Table13[[#This Row],[Performance Rating]])</f>
        <v>2</v>
      </c>
      <c r="L145" t="s">
        <v>278</v>
      </c>
      <c r="M145" t="str">
        <f>IF(Table13[[#This Row],[Email]]="invalid_email","Unknown",Table13[[#This Row],[Email]])</f>
        <v>user53@example.com</v>
      </c>
    </row>
    <row r="146" spans="1:13" x14ac:dyDescent="0.3">
      <c r="A146" t="s">
        <v>154</v>
      </c>
      <c r="B146" t="s">
        <v>163</v>
      </c>
      <c r="C146" t="s">
        <v>168</v>
      </c>
      <c r="D146" t="s">
        <v>176</v>
      </c>
      <c r="E146" s="3">
        <v>35627</v>
      </c>
      <c r="F146" s="3">
        <f>IF(Table13[[#This Row],[Salary]]="N/A",AVERAGEIF(Table13[Department],Table13[[#This Row],[Department]],Table13[Salary]),Table13[[#This Row],[Salary]])</f>
        <v>35627</v>
      </c>
      <c r="G146" s="10">
        <v>43023</v>
      </c>
      <c r="H146" s="10">
        <f>IF(Table13[[#This Row],[Date of Joining]]="",MEDIAN($G$2:$G$30),Table13[[#This Row],[Date of Joining]])</f>
        <v>43023</v>
      </c>
      <c r="I146" s="8">
        <v>5</v>
      </c>
      <c r="J146" s="8">
        <f>IF(Table13[[#This Row],[Performance Rating]]="",AVERAGE(Table13[Performance Rating]),Table13[[#This Row],[Performance Rating]])</f>
        <v>5</v>
      </c>
      <c r="K146" t="s">
        <v>181</v>
      </c>
      <c r="L146" t="s">
        <v>275</v>
      </c>
      <c r="M146" t="str">
        <f>IF(Table13[[#This Row],[Email]]="invalid_email","Unknown",Table13[[#This Row],[Email]])</f>
        <v>user188@example.com</v>
      </c>
    </row>
    <row r="147" spans="1:13" x14ac:dyDescent="0.3">
      <c r="A147" t="s">
        <v>155</v>
      </c>
      <c r="B147" t="s">
        <v>161</v>
      </c>
      <c r="C147" t="s">
        <v>170</v>
      </c>
      <c r="D147" t="s">
        <v>173</v>
      </c>
      <c r="E147" s="3">
        <v>57141</v>
      </c>
      <c r="F147" s="3">
        <f>IF(Table13[[#This Row],[Salary]]="N/A",AVERAGEIF(Table13[Department],Table13[[#This Row],[Department]],Table13[Salary]),Table13[[#This Row],[Salary]])</f>
        <v>57141</v>
      </c>
      <c r="G147" s="10">
        <v>43030</v>
      </c>
      <c r="H147" s="10">
        <f>IF(Table13[[#This Row],[Date of Joining]]="",MEDIAN($G$2:$G$30),Table13[[#This Row],[Date of Joining]])</f>
        <v>43030</v>
      </c>
      <c r="I147" s="8">
        <v>2</v>
      </c>
      <c r="J147" s="8">
        <f>IF(Table13[[#This Row],[Performance Rating]]="",AVERAGE(Table13[Performance Rating]),Table13[[#This Row],[Performance Rating]])</f>
        <v>2</v>
      </c>
      <c r="L147" t="s">
        <v>276</v>
      </c>
      <c r="M147" t="str">
        <f>IF(Table13[[#This Row],[Email]]="invalid_email","Unknown",Table13[[#This Row],[Email]])</f>
        <v>user165@example.com</v>
      </c>
    </row>
    <row r="148" spans="1:13" x14ac:dyDescent="0.3">
      <c r="A148" t="s">
        <v>156</v>
      </c>
      <c r="B148" t="s">
        <v>165</v>
      </c>
      <c r="C148" t="s">
        <v>168</v>
      </c>
      <c r="D148" t="s">
        <v>176</v>
      </c>
      <c r="E148" s="3">
        <v>65270</v>
      </c>
      <c r="F148" s="3">
        <f>IF(Table13[[#This Row],[Salary]]="N/A",AVERAGEIF(Table13[Department],Table13[[#This Row],[Department]],Table13[Salary]),Table13[[#This Row],[Salary]])</f>
        <v>65270</v>
      </c>
      <c r="G148" s="10">
        <v>43037</v>
      </c>
      <c r="H148" s="10">
        <f>IF(Table13[[#This Row],[Date of Joining]]="",MEDIAN($G$2:$G$30),Table13[[#This Row],[Date of Joining]])</f>
        <v>43037</v>
      </c>
      <c r="I148" s="8">
        <v>1</v>
      </c>
      <c r="J148" s="8">
        <f>IF(Table13[[#This Row],[Performance Rating]]="",AVERAGE(Table13[Performance Rating]),Table13[[#This Row],[Performance Rating]])</f>
        <v>1</v>
      </c>
      <c r="L148" t="s">
        <v>279</v>
      </c>
      <c r="M148" t="str">
        <f>IF(Table13[[#This Row],[Email]]="invalid_email","Unknown",Table13[[#This Row],[Email]])</f>
        <v>user163@example.com</v>
      </c>
    </row>
    <row r="149" spans="1:13" x14ac:dyDescent="0.3">
      <c r="A149" t="s">
        <v>157</v>
      </c>
      <c r="B149" t="s">
        <v>165</v>
      </c>
      <c r="D149" t="s">
        <v>175</v>
      </c>
      <c r="E149" s="3">
        <v>67335</v>
      </c>
      <c r="F149" s="3">
        <f>IF(Table13[[#This Row],[Salary]]="N/A",AVERAGEIF(Table13[Department],Table13[[#This Row],[Department]],Table13[Salary]),Table13[[#This Row],[Salary]])</f>
        <v>67335</v>
      </c>
      <c r="G149" s="10">
        <v>43044</v>
      </c>
      <c r="H149" s="10">
        <f>IF(Table13[[#This Row],[Date of Joining]]="",MEDIAN($G$2:$G$30),Table13[[#This Row],[Date of Joining]])</f>
        <v>43044</v>
      </c>
      <c r="I149" s="8">
        <v>1</v>
      </c>
      <c r="J149" s="8">
        <f>IF(Table13[[#This Row],[Performance Rating]]="",AVERAGE(Table13[Performance Rating]),Table13[[#This Row],[Performance Rating]])</f>
        <v>1</v>
      </c>
      <c r="K149" t="s">
        <v>179</v>
      </c>
      <c r="L149" t="s">
        <v>233</v>
      </c>
      <c r="M149" t="str">
        <f>IF(Table13[[#This Row],[Email]]="invalid_email","Unknown",Table13[[#This Row],[Email]])</f>
        <v>user112@example.com</v>
      </c>
    </row>
    <row r="150" spans="1:13" x14ac:dyDescent="0.3">
      <c r="A150" t="s">
        <v>158</v>
      </c>
      <c r="B150" t="s">
        <v>163</v>
      </c>
      <c r="C150" t="s">
        <v>170</v>
      </c>
      <c r="D150" t="s">
        <v>174</v>
      </c>
      <c r="E150" s="3">
        <v>98475</v>
      </c>
      <c r="F150" s="3">
        <f>IF(Table13[[#This Row],[Salary]]="N/A",AVERAGEIF(Table13[Department],Table13[[#This Row],[Department]],Table13[Salary]),Table13[[#This Row],[Salary]])</f>
        <v>98475</v>
      </c>
      <c r="G150" s="10">
        <v>43051</v>
      </c>
      <c r="H150" s="10">
        <f>IF(Table13[[#This Row],[Date of Joining]]="",MEDIAN($G$2:$G$30),Table13[[#This Row],[Date of Joining]])</f>
        <v>43051</v>
      </c>
      <c r="I150" s="8">
        <v>5</v>
      </c>
      <c r="J150" s="8">
        <f>IF(Table13[[#This Row],[Performance Rating]]="",AVERAGE(Table13[Performance Rating]),Table13[[#This Row],[Performance Rating]])</f>
        <v>5</v>
      </c>
      <c r="K150" t="s">
        <v>179</v>
      </c>
      <c r="L150" t="s">
        <v>280</v>
      </c>
      <c r="M150" t="str">
        <f>IF(Table13[[#This Row],[Email]]="invalid_email","Unknown",Table13[[#This Row],[Email]])</f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05DEE-17DE-4A32-958E-FB2D6912CDFA}">
  <sheetPr>
    <tabColor rgb="FF92D050"/>
  </sheetPr>
  <dimension ref="A1:M150"/>
  <sheetViews>
    <sheetView tabSelected="1" topLeftCell="B1" workbookViewId="0">
      <selection activeCell="L3" sqref="L3:L16"/>
    </sheetView>
  </sheetViews>
  <sheetFormatPr defaultRowHeight="14.4" x14ac:dyDescent="0.3"/>
  <cols>
    <col min="1" max="1" width="19.6640625" bestFit="1" customWidth="1"/>
    <col min="2" max="2" width="13.88671875" bestFit="1" customWidth="1"/>
    <col min="3" max="3" width="19.109375" bestFit="1" customWidth="1"/>
    <col min="4" max="4" width="13.5546875" hidden="1" customWidth="1"/>
    <col min="5" max="5" width="15.77734375" customWidth="1"/>
    <col min="6" max="6" width="22" style="3" bestFit="1" customWidth="1"/>
    <col min="7" max="7" width="20.6640625" style="10" bestFit="1" customWidth="1"/>
    <col min="8" max="8" width="25.88671875" style="8" customWidth="1"/>
    <col min="9" max="9" width="15" bestFit="1" customWidth="1"/>
    <col min="10" max="10" width="20.44140625" bestFit="1" customWidth="1"/>
    <col min="12" max="12" width="21.33203125" bestFit="1" customWidth="1"/>
    <col min="13" max="13" width="18.33203125" customWidth="1"/>
  </cols>
  <sheetData>
    <row r="1" spans="1:13" ht="18" x14ac:dyDescent="0.35">
      <c r="A1" s="17" t="s">
        <v>0</v>
      </c>
      <c r="B1" s="16" t="s">
        <v>1</v>
      </c>
      <c r="C1" s="16" t="s">
        <v>2</v>
      </c>
      <c r="D1" s="16" t="s">
        <v>285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19" t="s">
        <v>302</v>
      </c>
      <c r="M1" s="19"/>
    </row>
    <row r="2" spans="1:13" x14ac:dyDescent="0.3">
      <c r="A2" t="s">
        <v>10</v>
      </c>
      <c r="B2" t="s">
        <v>159</v>
      </c>
      <c r="C2" t="s">
        <v>167</v>
      </c>
      <c r="D2" t="s">
        <v>172</v>
      </c>
      <c r="E2" t="str">
        <f>IF(Table13_1[[#This Row],[Country 1]]=" ","Unknown",Table13_1[[#This Row],[Country 1]])</f>
        <v>Germany</v>
      </c>
      <c r="F2" s="3">
        <v>54255</v>
      </c>
      <c r="G2" s="10">
        <v>42015</v>
      </c>
      <c r="H2" s="8">
        <v>1</v>
      </c>
      <c r="I2" t="s">
        <v>179</v>
      </c>
      <c r="J2" t="s">
        <v>183</v>
      </c>
      <c r="L2" s="18"/>
      <c r="M2" s="18"/>
    </row>
    <row r="3" spans="1:13" x14ac:dyDescent="0.3">
      <c r="A3" t="s">
        <v>11</v>
      </c>
      <c r="B3" t="s">
        <v>160</v>
      </c>
      <c r="C3" t="s">
        <v>166</v>
      </c>
      <c r="D3" t="s">
        <v>172</v>
      </c>
      <c r="E3" t="str">
        <f>IF(Table13_1[[#This Row],[Country 1]]=" ","Unknown",Table13_1[[#This Row],[Country 1]])</f>
        <v>Germany</v>
      </c>
      <c r="F3" s="3">
        <v>63184</v>
      </c>
      <c r="G3" s="10">
        <v>42022</v>
      </c>
      <c r="H3" s="8">
        <v>2</v>
      </c>
      <c r="I3" t="s">
        <v>181</v>
      </c>
      <c r="J3" t="s">
        <v>191</v>
      </c>
      <c r="L3" s="20" t="s">
        <v>288</v>
      </c>
      <c r="M3" s="18">
        <v>66244.817262416109</v>
      </c>
    </row>
    <row r="4" spans="1:13" x14ac:dyDescent="0.3">
      <c r="A4" t="s">
        <v>12</v>
      </c>
      <c r="B4" t="s">
        <v>161</v>
      </c>
      <c r="C4" t="s">
        <v>168</v>
      </c>
      <c r="D4" t="s">
        <v>173</v>
      </c>
      <c r="E4" t="str">
        <f>IF(Table13_1[[#This Row],[Country 1]]=" ","Unknown",Table13_1[[#This Row],[Country 1]])</f>
        <v>USA</v>
      </c>
      <c r="F4" s="3">
        <v>94406</v>
      </c>
      <c r="G4" s="10">
        <v>42029</v>
      </c>
      <c r="H4" s="8">
        <v>1</v>
      </c>
      <c r="I4" t="s">
        <v>180</v>
      </c>
      <c r="J4" t="s">
        <v>192</v>
      </c>
      <c r="L4" s="20" t="s">
        <v>289</v>
      </c>
      <c r="M4" s="18">
        <v>1730.1332667146717</v>
      </c>
    </row>
    <row r="5" spans="1:13" x14ac:dyDescent="0.3">
      <c r="A5" t="s">
        <v>13</v>
      </c>
      <c r="B5" t="s">
        <v>162</v>
      </c>
      <c r="C5" t="s">
        <v>168</v>
      </c>
      <c r="D5" t="s">
        <v>172</v>
      </c>
      <c r="E5" t="str">
        <f>IF(Table13_1[[#This Row],[Country 1]]=" ","Unknown",Table13_1[[#This Row],[Country 1]])</f>
        <v>Germany</v>
      </c>
      <c r="F5" s="3">
        <v>64120</v>
      </c>
      <c r="G5" s="10">
        <v>42036</v>
      </c>
      <c r="H5" s="8">
        <v>1</v>
      </c>
      <c r="I5" t="s">
        <v>180</v>
      </c>
      <c r="J5" t="s">
        <v>197</v>
      </c>
      <c r="L5" s="20" t="s">
        <v>290</v>
      </c>
      <c r="M5" s="18">
        <v>66503</v>
      </c>
    </row>
    <row r="6" spans="1:13" x14ac:dyDescent="0.3">
      <c r="A6" t="s">
        <v>14</v>
      </c>
      <c r="B6" t="s">
        <v>160</v>
      </c>
      <c r="C6" t="s">
        <v>169</v>
      </c>
      <c r="D6" t="s">
        <v>174</v>
      </c>
      <c r="E6" t="str">
        <f>IF(Table13_1[[#This Row],[Country 1]]=" ","Unknown",Table13_1[[#This Row],[Country 1]])</f>
        <v>India</v>
      </c>
      <c r="F6" s="3">
        <v>78421</v>
      </c>
      <c r="G6" s="10">
        <v>42043</v>
      </c>
      <c r="H6" s="8">
        <v>2</v>
      </c>
      <c r="I6" t="s">
        <v>181</v>
      </c>
      <c r="J6" t="s">
        <v>200</v>
      </c>
      <c r="L6" s="20" t="s">
        <v>291</v>
      </c>
      <c r="M6" s="18">
        <v>63686.692300000002</v>
      </c>
    </row>
    <row r="7" spans="1:13" x14ac:dyDescent="0.3">
      <c r="A7" t="s">
        <v>15</v>
      </c>
      <c r="B7" t="s">
        <v>163</v>
      </c>
      <c r="C7" t="s">
        <v>168</v>
      </c>
      <c r="D7" t="s">
        <v>174</v>
      </c>
      <c r="E7" t="str">
        <f>IF(Table13_1[[#This Row],[Country 1]]=" ","Unknown",Table13_1[[#This Row],[Country 1]])</f>
        <v>India</v>
      </c>
      <c r="F7" s="3">
        <v>67721</v>
      </c>
      <c r="G7" s="10">
        <v>42050</v>
      </c>
      <c r="H7" s="8">
        <v>2.879032258064516</v>
      </c>
      <c r="I7" t="s">
        <v>180</v>
      </c>
      <c r="J7" t="s">
        <v>206</v>
      </c>
      <c r="L7" s="20" t="s">
        <v>292</v>
      </c>
      <c r="M7" s="18">
        <v>21118.967942783671</v>
      </c>
    </row>
    <row r="8" spans="1:13" x14ac:dyDescent="0.3">
      <c r="A8" t="s">
        <v>16</v>
      </c>
      <c r="B8" t="s">
        <v>164</v>
      </c>
      <c r="C8" t="s">
        <v>170</v>
      </c>
      <c r="D8" t="s">
        <v>174</v>
      </c>
      <c r="E8" t="str">
        <f>IF(Table13_1[[#This Row],[Country 1]]=" ","Unknown",Table13_1[[#This Row],[Country 1]])</f>
        <v>India</v>
      </c>
      <c r="F8" s="3">
        <v>35364</v>
      </c>
      <c r="G8" s="10">
        <v>42057</v>
      </c>
      <c r="H8" s="8">
        <v>2</v>
      </c>
      <c r="I8" t="s">
        <v>179</v>
      </c>
      <c r="J8" t="s">
        <v>208</v>
      </c>
      <c r="L8" s="20" t="s">
        <v>293</v>
      </c>
      <c r="M8" s="18">
        <v>446010806.96832442</v>
      </c>
    </row>
    <row r="9" spans="1:13" x14ac:dyDescent="0.3">
      <c r="A9" t="s">
        <v>17</v>
      </c>
      <c r="B9" t="s">
        <v>160</v>
      </c>
      <c r="C9" t="s">
        <v>169</v>
      </c>
      <c r="D9" t="s">
        <v>172</v>
      </c>
      <c r="E9" t="str">
        <f>IF(Table13_1[[#This Row],[Country 1]]=" ","Unknown",Table13_1[[#This Row],[Country 1]])</f>
        <v>Germany</v>
      </c>
      <c r="F9" s="3">
        <v>97881</v>
      </c>
      <c r="G9" s="10">
        <v>42064</v>
      </c>
      <c r="H9" s="8">
        <v>2.879032258064516</v>
      </c>
      <c r="I9" t="s">
        <v>181</v>
      </c>
      <c r="J9" t="s">
        <v>178</v>
      </c>
      <c r="L9" s="20" t="s">
        <v>294</v>
      </c>
      <c r="M9" s="18">
        <v>-1.2020982838486325</v>
      </c>
    </row>
    <row r="10" spans="1:13" x14ac:dyDescent="0.3">
      <c r="A10" t="s">
        <v>18</v>
      </c>
      <c r="B10" t="s">
        <v>164</v>
      </c>
      <c r="C10" t="s">
        <v>167</v>
      </c>
      <c r="D10" t="s">
        <v>175</v>
      </c>
      <c r="E10" t="str">
        <f>IF(Table13_1[[#This Row],[Country 1]]=" ","Unknown",Table13_1[[#This Row],[Country 1]])</f>
        <v>UK</v>
      </c>
      <c r="F10" s="3">
        <v>91846</v>
      </c>
      <c r="G10" s="10">
        <v>42071</v>
      </c>
      <c r="H10" s="8">
        <v>2.879032258064516</v>
      </c>
      <c r="I10" t="s">
        <v>180</v>
      </c>
      <c r="J10" t="s">
        <v>218</v>
      </c>
      <c r="L10" s="20" t="s">
        <v>295</v>
      </c>
      <c r="M10" s="18">
        <v>-0.11607826322849846</v>
      </c>
    </row>
    <row r="11" spans="1:13" x14ac:dyDescent="0.3">
      <c r="A11" t="s">
        <v>19</v>
      </c>
      <c r="B11" t="s">
        <v>163</v>
      </c>
      <c r="C11" t="s">
        <v>166</v>
      </c>
      <c r="D11" t="s">
        <v>175</v>
      </c>
      <c r="E11" t="str">
        <f>IF(Table13_1[[#This Row],[Country 1]]=" ","Unknown",Table13_1[[#This Row],[Country 1]])</f>
        <v>UK</v>
      </c>
      <c r="F11" s="3">
        <v>64247</v>
      </c>
      <c r="G11" s="10">
        <v>42078</v>
      </c>
      <c r="H11" s="8">
        <v>1</v>
      </c>
      <c r="I11" t="s">
        <v>181</v>
      </c>
      <c r="J11" t="s">
        <v>222</v>
      </c>
      <c r="L11" s="20" t="s">
        <v>296</v>
      </c>
      <c r="M11" s="18">
        <v>69341</v>
      </c>
    </row>
    <row r="12" spans="1:13" x14ac:dyDescent="0.3">
      <c r="A12" t="s">
        <v>20</v>
      </c>
      <c r="B12" t="s">
        <v>163</v>
      </c>
      <c r="C12" t="s">
        <v>169</v>
      </c>
      <c r="D12" t="s">
        <v>173</v>
      </c>
      <c r="E12" t="str">
        <f>IF(Table13_1[[#This Row],[Country 1]]=" ","Unknown",Table13_1[[#This Row],[Country 1]])</f>
        <v>USA</v>
      </c>
      <c r="F12" s="3">
        <v>91180</v>
      </c>
      <c r="G12" s="10">
        <v>42085</v>
      </c>
      <c r="H12" s="8">
        <v>5</v>
      </c>
      <c r="I12" t="s">
        <v>180</v>
      </c>
      <c r="J12" t="s">
        <v>187</v>
      </c>
      <c r="L12" s="20" t="s">
        <v>297</v>
      </c>
      <c r="M12" s="18">
        <v>30280</v>
      </c>
    </row>
    <row r="13" spans="1:13" x14ac:dyDescent="0.3">
      <c r="A13" t="s">
        <v>21</v>
      </c>
      <c r="B13" t="s">
        <v>165</v>
      </c>
      <c r="C13" t="s">
        <v>168</v>
      </c>
      <c r="D13" t="s">
        <v>174</v>
      </c>
      <c r="E13" t="str">
        <f>IF(Table13_1[[#This Row],[Country 1]]=" ","Unknown",Table13_1[[#This Row],[Country 1]])</f>
        <v>India</v>
      </c>
      <c r="F13" s="3">
        <v>96418</v>
      </c>
      <c r="G13" s="10">
        <v>42092</v>
      </c>
      <c r="H13" s="8">
        <v>5</v>
      </c>
      <c r="I13" t="s">
        <v>180</v>
      </c>
      <c r="J13" t="s">
        <v>207</v>
      </c>
      <c r="L13" s="20" t="s">
        <v>298</v>
      </c>
      <c r="M13" s="18">
        <v>99621</v>
      </c>
    </row>
    <row r="14" spans="1:13" x14ac:dyDescent="0.3">
      <c r="A14" t="s">
        <v>22</v>
      </c>
      <c r="B14" t="s">
        <v>163</v>
      </c>
      <c r="C14" t="s">
        <v>169</v>
      </c>
      <c r="D14" t="s">
        <v>174</v>
      </c>
      <c r="E14" t="str">
        <f>IF(Table13_1[[#This Row],[Country 1]]=" ","Unknown",Table13_1[[#This Row],[Country 1]])</f>
        <v>India</v>
      </c>
      <c r="F14" s="3">
        <v>62158</v>
      </c>
      <c r="G14" s="10">
        <v>42099</v>
      </c>
      <c r="H14" s="8">
        <v>4</v>
      </c>
      <c r="I14" t="s">
        <v>178</v>
      </c>
      <c r="J14" t="s">
        <v>200</v>
      </c>
      <c r="L14" s="20" t="s">
        <v>299</v>
      </c>
      <c r="M14" s="18">
        <v>9870477.7720999997</v>
      </c>
    </row>
    <row r="15" spans="1:13" x14ac:dyDescent="0.3">
      <c r="A15" t="s">
        <v>23</v>
      </c>
      <c r="B15" t="s">
        <v>162</v>
      </c>
      <c r="C15" t="s">
        <v>167</v>
      </c>
      <c r="D15" t="s">
        <v>174</v>
      </c>
      <c r="E15" t="str">
        <f>IF(Table13_1[[#This Row],[Country 1]]=" ","Unknown",Table13_1[[#This Row],[Country 1]])</f>
        <v>India</v>
      </c>
      <c r="F15" s="3">
        <v>59894</v>
      </c>
      <c r="G15" s="10">
        <v>42106</v>
      </c>
      <c r="H15" s="8">
        <v>2</v>
      </c>
      <c r="I15" t="s">
        <v>180</v>
      </c>
      <c r="J15" t="s">
        <v>207</v>
      </c>
      <c r="L15" s="20" t="s">
        <v>300</v>
      </c>
      <c r="M15" s="18">
        <v>149</v>
      </c>
    </row>
    <row r="16" spans="1:13" x14ac:dyDescent="0.3">
      <c r="A16" t="s">
        <v>24</v>
      </c>
      <c r="B16" t="s">
        <v>178</v>
      </c>
      <c r="C16" t="s">
        <v>169</v>
      </c>
      <c r="D16" t="s">
        <v>174</v>
      </c>
      <c r="E16" t="str">
        <f>IF(Table13_1[[#This Row],[Country 1]]=" ","Unknown",Table13_1[[#This Row],[Country 1]])</f>
        <v>India</v>
      </c>
      <c r="F16" s="3">
        <v>92443</v>
      </c>
      <c r="G16" s="10">
        <v>42113</v>
      </c>
      <c r="H16" s="8">
        <v>3</v>
      </c>
      <c r="I16" t="s">
        <v>179</v>
      </c>
      <c r="J16" t="s">
        <v>201</v>
      </c>
      <c r="L16" s="20" t="s">
        <v>301</v>
      </c>
      <c r="M16" s="18">
        <v>3418.9552653042888</v>
      </c>
    </row>
    <row r="17" spans="1:10" x14ac:dyDescent="0.3">
      <c r="A17" t="s">
        <v>25</v>
      </c>
      <c r="B17" t="s">
        <v>165</v>
      </c>
      <c r="C17" t="s">
        <v>167</v>
      </c>
      <c r="D17" t="s">
        <v>172</v>
      </c>
      <c r="E17" t="str">
        <f>IF(Table13_1[[#This Row],[Country 1]]=" ","Unknown",Table13_1[[#This Row],[Country 1]])</f>
        <v>Germany</v>
      </c>
      <c r="F17" s="3">
        <v>90271</v>
      </c>
      <c r="G17" s="10">
        <v>42120</v>
      </c>
      <c r="H17" s="8">
        <v>2.879032258064516</v>
      </c>
      <c r="I17" t="s">
        <v>179</v>
      </c>
      <c r="J17" t="s">
        <v>235</v>
      </c>
    </row>
    <row r="18" spans="1:10" x14ac:dyDescent="0.3">
      <c r="A18" t="s">
        <v>26</v>
      </c>
      <c r="B18" t="s">
        <v>162</v>
      </c>
      <c r="C18" t="s">
        <v>166</v>
      </c>
      <c r="D18" t="s">
        <v>176</v>
      </c>
      <c r="E18" t="str">
        <f>IF(Table13_1[[#This Row],[Country 1]]=" ","Unknown",Table13_1[[#This Row],[Country 1]])</f>
        <v>Australia</v>
      </c>
      <c r="F18" s="3">
        <v>41341</v>
      </c>
      <c r="G18" s="10">
        <v>42127</v>
      </c>
      <c r="H18" s="8">
        <v>1</v>
      </c>
      <c r="I18" t="s">
        <v>179</v>
      </c>
      <c r="J18" t="s">
        <v>239</v>
      </c>
    </row>
    <row r="19" spans="1:10" x14ac:dyDescent="0.3">
      <c r="A19" t="s">
        <v>27</v>
      </c>
      <c r="B19" t="s">
        <v>160</v>
      </c>
      <c r="C19" t="s">
        <v>166</v>
      </c>
      <c r="D19" t="s">
        <v>175</v>
      </c>
      <c r="E19" t="str">
        <f>IF(Table13_1[[#This Row],[Country 1]]=" ","Unknown",Table13_1[[#This Row],[Country 1]])</f>
        <v>UK</v>
      </c>
      <c r="F19" s="3">
        <v>73602</v>
      </c>
      <c r="G19" s="10">
        <v>42134</v>
      </c>
      <c r="H19" s="8">
        <v>2.879032258064516</v>
      </c>
      <c r="I19" t="s">
        <v>181</v>
      </c>
      <c r="J19" t="s">
        <v>223</v>
      </c>
    </row>
    <row r="20" spans="1:10" x14ac:dyDescent="0.3">
      <c r="A20" t="s">
        <v>28</v>
      </c>
      <c r="B20" t="s">
        <v>159</v>
      </c>
      <c r="C20" t="s">
        <v>169</v>
      </c>
      <c r="D20" t="s">
        <v>174</v>
      </c>
      <c r="E20" t="str">
        <f>IF(Table13_1[[#This Row],[Country 1]]=" ","Unknown",Table13_1[[#This Row],[Country 1]])</f>
        <v>India</v>
      </c>
      <c r="F20" s="3">
        <v>67531</v>
      </c>
      <c r="G20" s="10">
        <v>42141</v>
      </c>
      <c r="H20" s="8">
        <v>5</v>
      </c>
      <c r="I20" t="s">
        <v>181</v>
      </c>
      <c r="J20" t="s">
        <v>229</v>
      </c>
    </row>
    <row r="21" spans="1:10" x14ac:dyDescent="0.3">
      <c r="A21" t="s">
        <v>29</v>
      </c>
      <c r="B21" t="s">
        <v>162</v>
      </c>
      <c r="C21" t="s">
        <v>167</v>
      </c>
      <c r="D21" t="s">
        <v>173</v>
      </c>
      <c r="E21" t="str">
        <f>IF(Table13_1[[#This Row],[Country 1]]=" ","Unknown",Table13_1[[#This Row],[Country 1]])</f>
        <v>USA</v>
      </c>
      <c r="F21" s="3">
        <v>67834.565199999997</v>
      </c>
      <c r="G21" s="10">
        <v>42148</v>
      </c>
      <c r="H21" s="8">
        <v>2</v>
      </c>
      <c r="I21" t="s">
        <v>179</v>
      </c>
      <c r="J21" t="s">
        <v>240</v>
      </c>
    </row>
    <row r="22" spans="1:10" x14ac:dyDescent="0.3">
      <c r="A22" t="s">
        <v>30</v>
      </c>
      <c r="B22" t="s">
        <v>162</v>
      </c>
      <c r="C22" t="s">
        <v>167</v>
      </c>
      <c r="D22" t="s">
        <v>174</v>
      </c>
      <c r="E22" t="str">
        <f>IF(Table13_1[[#This Row],[Country 1]]=" ","Unknown",Table13_1[[#This Row],[Country 1]])</f>
        <v>India</v>
      </c>
      <c r="F22" s="3">
        <v>98922</v>
      </c>
      <c r="G22" s="10">
        <v>42155</v>
      </c>
      <c r="H22" s="8">
        <v>4</v>
      </c>
      <c r="I22" t="s">
        <v>180</v>
      </c>
      <c r="J22" t="s">
        <v>232</v>
      </c>
    </row>
    <row r="23" spans="1:10" x14ac:dyDescent="0.3">
      <c r="A23" t="s">
        <v>31</v>
      </c>
      <c r="B23" t="s">
        <v>159</v>
      </c>
      <c r="C23" t="s">
        <v>166</v>
      </c>
      <c r="D23" t="s">
        <v>174</v>
      </c>
      <c r="E23" t="str">
        <f>IF(Table13_1[[#This Row],[Country 1]]=" ","Unknown",Table13_1[[#This Row],[Country 1]])</f>
        <v>India</v>
      </c>
      <c r="F23" s="3">
        <v>38333</v>
      </c>
      <c r="G23" s="10">
        <v>42162</v>
      </c>
      <c r="H23" s="8">
        <v>5</v>
      </c>
      <c r="I23" t="s">
        <v>179</v>
      </c>
      <c r="J23" t="s">
        <v>190</v>
      </c>
    </row>
    <row r="24" spans="1:10" x14ac:dyDescent="0.3">
      <c r="A24" t="s">
        <v>32</v>
      </c>
      <c r="B24" t="s">
        <v>160</v>
      </c>
      <c r="C24" t="s">
        <v>170</v>
      </c>
      <c r="D24" t="s">
        <v>175</v>
      </c>
      <c r="E24" t="str">
        <f>IF(Table13_1[[#This Row],[Country 1]]=" ","Unknown",Table13_1[[#This Row],[Country 1]])</f>
        <v>UK</v>
      </c>
      <c r="F24" s="3">
        <v>36515</v>
      </c>
      <c r="G24" s="10">
        <v>42169</v>
      </c>
      <c r="H24" s="8">
        <v>3</v>
      </c>
      <c r="I24" t="s">
        <v>180</v>
      </c>
      <c r="J24" t="s">
        <v>243</v>
      </c>
    </row>
    <row r="25" spans="1:10" x14ac:dyDescent="0.3">
      <c r="A25" t="s">
        <v>33</v>
      </c>
      <c r="B25" t="s">
        <v>163</v>
      </c>
      <c r="C25" t="s">
        <v>166</v>
      </c>
      <c r="D25" t="s">
        <v>175</v>
      </c>
      <c r="E25" t="str">
        <f>IF(Table13_1[[#This Row],[Country 1]]=" ","Unknown",Table13_1[[#This Row],[Country 1]])</f>
        <v>UK</v>
      </c>
      <c r="F25" s="3">
        <v>91005</v>
      </c>
      <c r="G25" s="10">
        <v>42176</v>
      </c>
      <c r="H25" s="8">
        <v>1</v>
      </c>
      <c r="I25" t="s">
        <v>179</v>
      </c>
      <c r="J25" t="s">
        <v>248</v>
      </c>
    </row>
    <row r="26" spans="1:10" x14ac:dyDescent="0.3">
      <c r="A26" t="s">
        <v>34</v>
      </c>
      <c r="B26" t="s">
        <v>164</v>
      </c>
      <c r="C26" t="s">
        <v>166</v>
      </c>
      <c r="D26" t="s">
        <v>171</v>
      </c>
      <c r="E26" t="str">
        <f>IF(Table13_1[[#This Row],[Country 1]]=" ","Unknown",Table13_1[[#This Row],[Country 1]])</f>
        <v>Unknown</v>
      </c>
      <c r="F26" s="3">
        <v>52272</v>
      </c>
      <c r="G26" s="10">
        <v>42183</v>
      </c>
      <c r="H26" s="8">
        <v>3</v>
      </c>
      <c r="I26" t="s">
        <v>179</v>
      </c>
      <c r="J26" t="s">
        <v>203</v>
      </c>
    </row>
    <row r="27" spans="1:10" x14ac:dyDescent="0.3">
      <c r="A27" t="s">
        <v>35</v>
      </c>
      <c r="B27" t="s">
        <v>159</v>
      </c>
      <c r="C27" t="s">
        <v>168</v>
      </c>
      <c r="D27" t="s">
        <v>172</v>
      </c>
      <c r="E27" t="str">
        <f>IF(Table13_1[[#This Row],[Country 1]]=" ","Unknown",Table13_1[[#This Row],[Country 1]])</f>
        <v>Germany</v>
      </c>
      <c r="F27" s="3">
        <v>76518</v>
      </c>
      <c r="G27" s="10">
        <v>42190</v>
      </c>
      <c r="H27" s="8">
        <v>2</v>
      </c>
      <c r="I27" t="s">
        <v>181</v>
      </c>
      <c r="J27" t="s">
        <v>198</v>
      </c>
    </row>
    <row r="28" spans="1:10" x14ac:dyDescent="0.3">
      <c r="A28" t="s">
        <v>36</v>
      </c>
      <c r="B28" t="s">
        <v>160</v>
      </c>
      <c r="C28" t="s">
        <v>169</v>
      </c>
      <c r="D28" t="s">
        <v>175</v>
      </c>
      <c r="E28" t="str">
        <f>IF(Table13_1[[#This Row],[Country 1]]=" ","Unknown",Table13_1[[#This Row],[Country 1]])</f>
        <v>UK</v>
      </c>
      <c r="F28" s="3">
        <v>41448</v>
      </c>
      <c r="G28" s="10">
        <v>42197</v>
      </c>
      <c r="H28" s="8">
        <v>3</v>
      </c>
      <c r="I28" t="s">
        <v>179</v>
      </c>
      <c r="J28" t="s">
        <v>203</v>
      </c>
    </row>
    <row r="29" spans="1:10" x14ac:dyDescent="0.3">
      <c r="A29" t="s">
        <v>37</v>
      </c>
      <c r="B29" t="s">
        <v>161</v>
      </c>
      <c r="C29" t="s">
        <v>167</v>
      </c>
      <c r="D29" t="s">
        <v>175</v>
      </c>
      <c r="E29" t="str">
        <f>IF(Table13_1[[#This Row],[Country 1]]=" ","Unknown",Table13_1[[#This Row],[Country 1]])</f>
        <v>UK</v>
      </c>
      <c r="F29" s="3">
        <v>49282</v>
      </c>
      <c r="G29" s="10">
        <v>42204</v>
      </c>
      <c r="H29" s="8">
        <v>2</v>
      </c>
      <c r="I29" t="s">
        <v>181</v>
      </c>
      <c r="J29" t="s">
        <v>219</v>
      </c>
    </row>
    <row r="30" spans="1:10" x14ac:dyDescent="0.3">
      <c r="A30" t="s">
        <v>38</v>
      </c>
      <c r="B30" t="s">
        <v>165</v>
      </c>
      <c r="C30" t="s">
        <v>170</v>
      </c>
      <c r="D30" t="s">
        <v>175</v>
      </c>
      <c r="E30" t="str">
        <f>IF(Table13_1[[#This Row],[Country 1]]=" ","Unknown",Table13_1[[#This Row],[Country 1]])</f>
        <v>UK</v>
      </c>
      <c r="F30" s="3">
        <v>92959</v>
      </c>
      <c r="G30" s="10">
        <v>42211</v>
      </c>
      <c r="H30" s="8">
        <v>5</v>
      </c>
      <c r="I30" t="s">
        <v>180</v>
      </c>
      <c r="J30" t="s">
        <v>244</v>
      </c>
    </row>
    <row r="31" spans="1:10" x14ac:dyDescent="0.3">
      <c r="A31" t="s">
        <v>39</v>
      </c>
      <c r="B31" t="s">
        <v>178</v>
      </c>
      <c r="C31" t="s">
        <v>170</v>
      </c>
      <c r="D31" t="s">
        <v>174</v>
      </c>
      <c r="E31" t="str">
        <f>IF(Table13_1[[#This Row],[Country 1]]=" ","Unknown",Table13_1[[#This Row],[Country 1]])</f>
        <v>India</v>
      </c>
      <c r="F31" s="3">
        <v>92259</v>
      </c>
      <c r="G31" s="10">
        <v>42113</v>
      </c>
      <c r="H31" s="8">
        <v>1</v>
      </c>
      <c r="I31" t="s">
        <v>178</v>
      </c>
      <c r="J31" t="s">
        <v>209</v>
      </c>
    </row>
    <row r="32" spans="1:10" x14ac:dyDescent="0.3">
      <c r="A32" t="s">
        <v>40</v>
      </c>
      <c r="B32" t="s">
        <v>159</v>
      </c>
      <c r="C32" t="s">
        <v>167</v>
      </c>
      <c r="D32" t="s">
        <v>172</v>
      </c>
      <c r="E32" t="str">
        <f>IF(Table13_1[[#This Row],[Country 1]]=" ","Unknown",Table13_1[[#This Row],[Country 1]])</f>
        <v>Germany</v>
      </c>
      <c r="F32" s="3">
        <v>92299</v>
      </c>
      <c r="G32" s="10">
        <v>42225</v>
      </c>
      <c r="H32" s="8">
        <v>3</v>
      </c>
      <c r="I32" t="s">
        <v>180</v>
      </c>
      <c r="J32" t="s">
        <v>184</v>
      </c>
    </row>
    <row r="33" spans="1:10" x14ac:dyDescent="0.3">
      <c r="A33" t="s">
        <v>41</v>
      </c>
      <c r="B33" t="s">
        <v>163</v>
      </c>
      <c r="C33" t="s">
        <v>167</v>
      </c>
      <c r="D33" t="s">
        <v>174</v>
      </c>
      <c r="E33" t="str">
        <f>IF(Table13_1[[#This Row],[Country 1]]=" ","Unknown",Table13_1[[#This Row],[Country 1]])</f>
        <v>India</v>
      </c>
      <c r="F33" s="3">
        <v>95586</v>
      </c>
      <c r="G33" s="10">
        <v>42232</v>
      </c>
      <c r="H33" s="8">
        <v>3</v>
      </c>
      <c r="I33" t="s">
        <v>179</v>
      </c>
      <c r="J33" t="s">
        <v>223</v>
      </c>
    </row>
    <row r="34" spans="1:10" x14ac:dyDescent="0.3">
      <c r="A34" t="s">
        <v>42</v>
      </c>
      <c r="B34" t="s">
        <v>164</v>
      </c>
      <c r="C34" t="s">
        <v>169</v>
      </c>
      <c r="D34" t="s">
        <v>173</v>
      </c>
      <c r="E34" t="str">
        <f>IF(Table13_1[[#This Row],[Country 1]]=" ","Unknown",Table13_1[[#This Row],[Country 1]])</f>
        <v>USA</v>
      </c>
      <c r="F34" s="3">
        <v>95367</v>
      </c>
      <c r="G34" s="10">
        <v>42239</v>
      </c>
      <c r="H34" s="8">
        <v>2.879032258064516</v>
      </c>
      <c r="I34" t="s">
        <v>180</v>
      </c>
      <c r="J34" t="s">
        <v>252</v>
      </c>
    </row>
    <row r="35" spans="1:10" x14ac:dyDescent="0.3">
      <c r="A35" t="s">
        <v>43</v>
      </c>
      <c r="B35" t="s">
        <v>161</v>
      </c>
      <c r="C35" t="s">
        <v>168</v>
      </c>
      <c r="D35" t="s">
        <v>176</v>
      </c>
      <c r="E35" t="str">
        <f>IF(Table13_1[[#This Row],[Country 1]]=" ","Unknown",Table13_1[[#This Row],[Country 1]])</f>
        <v>Australia</v>
      </c>
      <c r="F35" s="3">
        <v>79549</v>
      </c>
      <c r="G35" s="10">
        <v>42246</v>
      </c>
      <c r="H35" s="8">
        <v>3</v>
      </c>
      <c r="I35" t="s">
        <v>180</v>
      </c>
      <c r="J35" t="s">
        <v>255</v>
      </c>
    </row>
    <row r="36" spans="1:10" x14ac:dyDescent="0.3">
      <c r="A36" t="s">
        <v>44</v>
      </c>
      <c r="B36" t="s">
        <v>160</v>
      </c>
      <c r="C36" t="s">
        <v>168</v>
      </c>
      <c r="D36" t="s">
        <v>175</v>
      </c>
      <c r="E36" t="str">
        <f>IF(Table13_1[[#This Row],[Country 1]]=" ","Unknown",Table13_1[[#This Row],[Country 1]])</f>
        <v>UK</v>
      </c>
      <c r="F36" s="3">
        <v>54463</v>
      </c>
      <c r="G36" s="10">
        <v>42253</v>
      </c>
      <c r="H36" s="8">
        <v>4</v>
      </c>
      <c r="I36" t="s">
        <v>180</v>
      </c>
      <c r="J36" t="s">
        <v>260</v>
      </c>
    </row>
    <row r="37" spans="1:10" x14ac:dyDescent="0.3">
      <c r="A37" t="s">
        <v>45</v>
      </c>
      <c r="B37" t="s">
        <v>160</v>
      </c>
      <c r="C37" t="s">
        <v>169</v>
      </c>
      <c r="D37" t="s">
        <v>173</v>
      </c>
      <c r="E37" t="str">
        <f>IF(Table13_1[[#This Row],[Country 1]]=" ","Unknown",Table13_1[[#This Row],[Country 1]])</f>
        <v>USA</v>
      </c>
      <c r="F37" s="3">
        <v>89781</v>
      </c>
      <c r="G37" s="10">
        <v>42260</v>
      </c>
      <c r="H37" s="8">
        <v>2.879032258064516</v>
      </c>
      <c r="I37" t="s">
        <v>181</v>
      </c>
      <c r="J37" t="s">
        <v>219</v>
      </c>
    </row>
    <row r="38" spans="1:10" x14ac:dyDescent="0.3">
      <c r="A38" t="s">
        <v>46</v>
      </c>
      <c r="B38" t="s">
        <v>160</v>
      </c>
      <c r="C38" t="s">
        <v>167</v>
      </c>
      <c r="D38" t="s">
        <v>174</v>
      </c>
      <c r="E38" t="str">
        <f>IF(Table13_1[[#This Row],[Country 1]]=" ","Unknown",Table13_1[[#This Row],[Country 1]])</f>
        <v>India</v>
      </c>
      <c r="F38" s="3">
        <v>64796</v>
      </c>
      <c r="G38" s="10">
        <v>42267</v>
      </c>
      <c r="H38" s="8">
        <v>2.879032258064516</v>
      </c>
      <c r="I38" t="s">
        <v>179</v>
      </c>
      <c r="J38" t="s">
        <v>233</v>
      </c>
    </row>
    <row r="39" spans="1:10" x14ac:dyDescent="0.3">
      <c r="A39" t="s">
        <v>47</v>
      </c>
      <c r="B39" t="s">
        <v>161</v>
      </c>
      <c r="C39" t="s">
        <v>170</v>
      </c>
      <c r="D39" t="s">
        <v>175</v>
      </c>
      <c r="E39" t="str">
        <f>IF(Table13_1[[#This Row],[Country 1]]=" ","Unknown",Table13_1[[#This Row],[Country 1]])</f>
        <v>UK</v>
      </c>
      <c r="F39" s="3">
        <v>52093</v>
      </c>
      <c r="G39" s="10">
        <v>42274</v>
      </c>
      <c r="H39" s="8">
        <v>5</v>
      </c>
      <c r="I39" t="s">
        <v>180</v>
      </c>
      <c r="J39" t="s">
        <v>245</v>
      </c>
    </row>
    <row r="40" spans="1:10" x14ac:dyDescent="0.3">
      <c r="A40" t="s">
        <v>48</v>
      </c>
      <c r="B40" t="s">
        <v>164</v>
      </c>
      <c r="C40" t="s">
        <v>167</v>
      </c>
      <c r="D40" t="s">
        <v>175</v>
      </c>
      <c r="E40" t="str">
        <f>IF(Table13_1[[#This Row],[Country 1]]=" ","Unknown",Table13_1[[#This Row],[Country 1]])</f>
        <v>UK</v>
      </c>
      <c r="F40" s="3">
        <v>48224</v>
      </c>
      <c r="G40" s="10">
        <v>42281</v>
      </c>
      <c r="H40" s="8">
        <v>3</v>
      </c>
      <c r="I40" t="s">
        <v>181</v>
      </c>
      <c r="J40" t="s">
        <v>220</v>
      </c>
    </row>
    <row r="41" spans="1:10" x14ac:dyDescent="0.3">
      <c r="A41" t="s">
        <v>49</v>
      </c>
      <c r="B41" t="s">
        <v>165</v>
      </c>
      <c r="C41" t="s">
        <v>166</v>
      </c>
      <c r="D41" t="s">
        <v>175</v>
      </c>
      <c r="E41" t="str">
        <f>IF(Table13_1[[#This Row],[Country 1]]=" ","Unknown",Table13_1[[#This Row],[Country 1]])</f>
        <v>UK</v>
      </c>
      <c r="F41" s="3">
        <v>65604.55</v>
      </c>
      <c r="G41" s="10">
        <v>42113</v>
      </c>
      <c r="H41" s="8">
        <v>4</v>
      </c>
      <c r="I41" t="s">
        <v>181</v>
      </c>
      <c r="J41" t="s">
        <v>183</v>
      </c>
    </row>
    <row r="42" spans="1:10" x14ac:dyDescent="0.3">
      <c r="A42" t="s">
        <v>50</v>
      </c>
      <c r="B42" t="s">
        <v>160</v>
      </c>
      <c r="C42" t="s">
        <v>169</v>
      </c>
      <c r="D42" t="s">
        <v>172</v>
      </c>
      <c r="E42" t="str">
        <f>IF(Table13_1[[#This Row],[Country 1]]=" ","Unknown",Table13_1[[#This Row],[Country 1]])</f>
        <v>Germany</v>
      </c>
      <c r="F42" s="3">
        <v>33956</v>
      </c>
      <c r="G42" s="10">
        <v>42295</v>
      </c>
      <c r="H42" s="8">
        <v>2.879032258064516</v>
      </c>
      <c r="I42" t="s">
        <v>181</v>
      </c>
      <c r="J42" t="s">
        <v>215</v>
      </c>
    </row>
    <row r="43" spans="1:10" x14ac:dyDescent="0.3">
      <c r="A43" t="s">
        <v>51</v>
      </c>
      <c r="B43" t="s">
        <v>165</v>
      </c>
      <c r="C43" t="s">
        <v>168</v>
      </c>
      <c r="D43" t="s">
        <v>176</v>
      </c>
      <c r="E43" t="str">
        <f>IF(Table13_1[[#This Row],[Country 1]]=" ","Unknown",Table13_1[[#This Row],[Country 1]])</f>
        <v>Australia</v>
      </c>
      <c r="F43" s="3">
        <v>64913</v>
      </c>
      <c r="G43" s="10">
        <v>42302</v>
      </c>
      <c r="H43" s="8">
        <v>1</v>
      </c>
      <c r="I43" t="s">
        <v>181</v>
      </c>
      <c r="J43" t="s">
        <v>202</v>
      </c>
    </row>
    <row r="44" spans="1:10" x14ac:dyDescent="0.3">
      <c r="A44" t="s">
        <v>52</v>
      </c>
      <c r="B44" t="s">
        <v>160</v>
      </c>
      <c r="C44" t="s">
        <v>170</v>
      </c>
      <c r="D44" t="s">
        <v>176</v>
      </c>
      <c r="E44" t="str">
        <f>IF(Table13_1[[#This Row],[Country 1]]=" ","Unknown",Table13_1[[#This Row],[Country 1]])</f>
        <v>Australia</v>
      </c>
      <c r="F44" s="3">
        <v>35326</v>
      </c>
      <c r="G44" s="10">
        <v>42309</v>
      </c>
      <c r="H44" s="8">
        <v>2.879032258064516</v>
      </c>
      <c r="I44" t="s">
        <v>181</v>
      </c>
      <c r="J44" t="s">
        <v>258</v>
      </c>
    </row>
    <row r="45" spans="1:10" x14ac:dyDescent="0.3">
      <c r="A45" t="s">
        <v>53</v>
      </c>
      <c r="B45" t="s">
        <v>164</v>
      </c>
      <c r="C45" t="s">
        <v>166</v>
      </c>
      <c r="D45" t="s">
        <v>175</v>
      </c>
      <c r="E45" t="str">
        <f>IF(Table13_1[[#This Row],[Country 1]]=" ","Unknown",Table13_1[[#This Row],[Country 1]])</f>
        <v>UK</v>
      </c>
      <c r="F45" s="3">
        <v>81610</v>
      </c>
      <c r="G45" s="10">
        <v>42316</v>
      </c>
      <c r="H45" s="8">
        <v>1</v>
      </c>
      <c r="I45" t="s">
        <v>179</v>
      </c>
      <c r="J45" t="s">
        <v>220</v>
      </c>
    </row>
    <row r="46" spans="1:10" x14ac:dyDescent="0.3">
      <c r="A46" t="s">
        <v>54</v>
      </c>
      <c r="B46" t="s">
        <v>178</v>
      </c>
      <c r="C46" t="s">
        <v>167</v>
      </c>
      <c r="D46" t="s">
        <v>174</v>
      </c>
      <c r="E46" t="str">
        <f>IF(Table13_1[[#This Row],[Country 1]]=" ","Unknown",Table13_1[[#This Row],[Country 1]])</f>
        <v>India</v>
      </c>
      <c r="F46" s="3">
        <v>58962</v>
      </c>
      <c r="G46" s="10">
        <v>42323</v>
      </c>
      <c r="H46" s="8">
        <v>3</v>
      </c>
      <c r="I46" t="s">
        <v>179</v>
      </c>
      <c r="J46" t="s">
        <v>215</v>
      </c>
    </row>
    <row r="47" spans="1:10" x14ac:dyDescent="0.3">
      <c r="A47" t="s">
        <v>55</v>
      </c>
      <c r="B47" t="s">
        <v>164</v>
      </c>
      <c r="C47" t="s">
        <v>169</v>
      </c>
      <c r="D47" t="s">
        <v>172</v>
      </c>
      <c r="E47" t="str">
        <f>IF(Table13_1[[#This Row],[Country 1]]=" ","Unknown",Table13_1[[#This Row],[Country 1]])</f>
        <v>Germany</v>
      </c>
      <c r="F47" s="3">
        <v>92701</v>
      </c>
      <c r="G47" s="10">
        <v>42330</v>
      </c>
      <c r="H47" s="8">
        <v>3</v>
      </c>
      <c r="I47" t="s">
        <v>179</v>
      </c>
      <c r="J47" t="s">
        <v>216</v>
      </c>
    </row>
    <row r="48" spans="1:10" x14ac:dyDescent="0.3">
      <c r="A48" t="s">
        <v>56</v>
      </c>
      <c r="B48" t="s">
        <v>164</v>
      </c>
      <c r="C48" t="s">
        <v>167</v>
      </c>
      <c r="D48" t="s">
        <v>174</v>
      </c>
      <c r="E48" t="str">
        <f>IF(Table13_1[[#This Row],[Country 1]]=" ","Unknown",Table13_1[[#This Row],[Country 1]])</f>
        <v>India</v>
      </c>
      <c r="F48" s="3">
        <v>58245</v>
      </c>
      <c r="G48" s="10">
        <v>42337</v>
      </c>
      <c r="H48" s="8">
        <v>4</v>
      </c>
      <c r="I48" t="s">
        <v>181</v>
      </c>
      <c r="J48" t="s">
        <v>239</v>
      </c>
    </row>
    <row r="49" spans="1:10" x14ac:dyDescent="0.3">
      <c r="A49" t="s">
        <v>57</v>
      </c>
      <c r="B49" t="s">
        <v>161</v>
      </c>
      <c r="C49" t="s">
        <v>166</v>
      </c>
      <c r="D49" t="s">
        <v>175</v>
      </c>
      <c r="E49" t="str">
        <f>IF(Table13_1[[#This Row],[Country 1]]=" ","Unknown",Table13_1[[#This Row],[Country 1]])</f>
        <v>UK</v>
      </c>
      <c r="F49" s="3">
        <v>66513</v>
      </c>
      <c r="G49" s="10">
        <v>42344</v>
      </c>
      <c r="H49" s="8">
        <v>2</v>
      </c>
      <c r="I49" t="s">
        <v>179</v>
      </c>
      <c r="J49" t="s">
        <v>249</v>
      </c>
    </row>
    <row r="50" spans="1:10" x14ac:dyDescent="0.3">
      <c r="A50" t="s">
        <v>58</v>
      </c>
      <c r="B50" t="s">
        <v>159</v>
      </c>
      <c r="C50" t="s">
        <v>167</v>
      </c>
      <c r="D50" t="s">
        <v>172</v>
      </c>
      <c r="E50" t="str">
        <f>IF(Table13_1[[#This Row],[Country 1]]=" ","Unknown",Table13_1[[#This Row],[Country 1]])</f>
        <v>Germany</v>
      </c>
      <c r="F50" s="3">
        <v>78720</v>
      </c>
      <c r="G50" s="10">
        <v>42351</v>
      </c>
      <c r="H50" s="8">
        <v>5</v>
      </c>
      <c r="I50" t="s">
        <v>181</v>
      </c>
      <c r="J50" t="s">
        <v>185</v>
      </c>
    </row>
    <row r="51" spans="1:10" x14ac:dyDescent="0.3">
      <c r="A51" t="s">
        <v>59</v>
      </c>
      <c r="B51" t="s">
        <v>164</v>
      </c>
      <c r="C51" t="s">
        <v>166</v>
      </c>
      <c r="D51" t="s">
        <v>171</v>
      </c>
      <c r="E51" t="str">
        <f>IF(Table13_1[[#This Row],[Country 1]]=" ","Unknown",Table13_1[[#This Row],[Country 1]])</f>
        <v>Unknown</v>
      </c>
      <c r="F51" s="3">
        <v>30686</v>
      </c>
      <c r="G51" s="10">
        <v>42113</v>
      </c>
      <c r="H51" s="8">
        <v>2</v>
      </c>
      <c r="I51" t="s">
        <v>181</v>
      </c>
      <c r="J51" t="s">
        <v>251</v>
      </c>
    </row>
    <row r="52" spans="1:10" x14ac:dyDescent="0.3">
      <c r="A52" t="s">
        <v>60</v>
      </c>
      <c r="B52" t="s">
        <v>163</v>
      </c>
      <c r="C52" t="s">
        <v>168</v>
      </c>
      <c r="D52" t="s">
        <v>174</v>
      </c>
      <c r="E52" t="str">
        <f>IF(Table13_1[[#This Row],[Country 1]]=" ","Unknown",Table13_1[[#This Row],[Country 1]])</f>
        <v>India</v>
      </c>
      <c r="F52" s="3">
        <v>39423</v>
      </c>
      <c r="G52" s="10">
        <v>42365</v>
      </c>
      <c r="H52" s="8">
        <v>5</v>
      </c>
      <c r="I52" t="s">
        <v>181</v>
      </c>
      <c r="J52" t="s">
        <v>266</v>
      </c>
    </row>
    <row r="53" spans="1:10" x14ac:dyDescent="0.3">
      <c r="A53" t="s">
        <v>61</v>
      </c>
      <c r="B53" t="s">
        <v>159</v>
      </c>
      <c r="C53" t="s">
        <v>170</v>
      </c>
      <c r="D53" t="s">
        <v>174</v>
      </c>
      <c r="E53" t="str">
        <f>IF(Table13_1[[#This Row],[Country 1]]=" ","Unknown",Table13_1[[#This Row],[Country 1]])</f>
        <v>India</v>
      </c>
      <c r="F53" s="3">
        <v>30280</v>
      </c>
      <c r="G53" s="10">
        <v>42372</v>
      </c>
      <c r="H53" s="8">
        <v>1</v>
      </c>
      <c r="I53" t="s">
        <v>178</v>
      </c>
      <c r="J53" t="s">
        <v>210</v>
      </c>
    </row>
    <row r="54" spans="1:10" x14ac:dyDescent="0.3">
      <c r="A54" t="s">
        <v>62</v>
      </c>
      <c r="B54" t="s">
        <v>159</v>
      </c>
      <c r="C54" t="s">
        <v>166</v>
      </c>
      <c r="D54" t="s">
        <v>175</v>
      </c>
      <c r="E54" t="str">
        <f>IF(Table13_1[[#This Row],[Country 1]]=" ","Unknown",Table13_1[[#This Row],[Country 1]])</f>
        <v>UK</v>
      </c>
      <c r="F54" s="3">
        <v>33352</v>
      </c>
      <c r="G54" s="10">
        <v>42379</v>
      </c>
      <c r="H54" s="8">
        <v>3</v>
      </c>
      <c r="I54" t="s">
        <v>181</v>
      </c>
      <c r="J54" t="s">
        <v>224</v>
      </c>
    </row>
    <row r="55" spans="1:10" x14ac:dyDescent="0.3">
      <c r="A55" t="s">
        <v>63</v>
      </c>
      <c r="B55" t="s">
        <v>165</v>
      </c>
      <c r="C55" t="s">
        <v>170</v>
      </c>
      <c r="D55" t="s">
        <v>175</v>
      </c>
      <c r="E55" t="str">
        <f>IF(Table13_1[[#This Row],[Country 1]]=" ","Unknown",Table13_1[[#This Row],[Country 1]])</f>
        <v>UK</v>
      </c>
      <c r="F55" s="3">
        <v>75633</v>
      </c>
      <c r="G55" s="10">
        <v>42386</v>
      </c>
      <c r="H55" s="8">
        <v>5</v>
      </c>
      <c r="I55" t="s">
        <v>179</v>
      </c>
      <c r="J55" t="s">
        <v>208</v>
      </c>
    </row>
    <row r="56" spans="1:10" x14ac:dyDescent="0.3">
      <c r="A56" t="s">
        <v>64</v>
      </c>
      <c r="B56" t="s">
        <v>164</v>
      </c>
      <c r="C56" t="s">
        <v>169</v>
      </c>
      <c r="D56" t="s">
        <v>173</v>
      </c>
      <c r="E56" t="str">
        <f>IF(Table13_1[[#This Row],[Country 1]]=" ","Unknown",Table13_1[[#This Row],[Country 1]])</f>
        <v>USA</v>
      </c>
      <c r="F56" s="3">
        <v>74815</v>
      </c>
      <c r="G56" s="10">
        <v>42393</v>
      </c>
      <c r="H56" s="8">
        <v>5</v>
      </c>
      <c r="I56" t="s">
        <v>181</v>
      </c>
      <c r="J56" t="s">
        <v>253</v>
      </c>
    </row>
    <row r="57" spans="1:10" x14ac:dyDescent="0.3">
      <c r="A57" t="s">
        <v>65</v>
      </c>
      <c r="B57" t="s">
        <v>161</v>
      </c>
      <c r="C57" t="s">
        <v>168</v>
      </c>
      <c r="D57" t="s">
        <v>176</v>
      </c>
      <c r="E57" t="str">
        <f>IF(Table13_1[[#This Row],[Country 1]]=" ","Unknown",Table13_1[[#This Row],[Country 1]])</f>
        <v>Australia</v>
      </c>
      <c r="F57" s="3">
        <v>60011</v>
      </c>
      <c r="G57" s="10">
        <v>42400</v>
      </c>
      <c r="H57" s="8">
        <v>1</v>
      </c>
      <c r="I57" t="s">
        <v>180</v>
      </c>
      <c r="J57" t="s">
        <v>256</v>
      </c>
    </row>
    <row r="58" spans="1:10" x14ac:dyDescent="0.3">
      <c r="A58" t="s">
        <v>66</v>
      </c>
      <c r="B58" t="s">
        <v>159</v>
      </c>
      <c r="C58" t="s">
        <v>169</v>
      </c>
      <c r="D58" t="s">
        <v>174</v>
      </c>
      <c r="E58" t="str">
        <f>IF(Table13_1[[#This Row],[Country 1]]=" ","Unknown",Table13_1[[#This Row],[Country 1]])</f>
        <v>India</v>
      </c>
      <c r="F58" s="3">
        <v>96949</v>
      </c>
      <c r="G58" s="10">
        <v>42407</v>
      </c>
      <c r="H58" s="8">
        <v>3</v>
      </c>
      <c r="I58" t="s">
        <v>181</v>
      </c>
      <c r="J58" t="s">
        <v>230</v>
      </c>
    </row>
    <row r="59" spans="1:10" x14ac:dyDescent="0.3">
      <c r="A59" t="s">
        <v>67</v>
      </c>
      <c r="B59" t="s">
        <v>163</v>
      </c>
      <c r="C59" t="s">
        <v>170</v>
      </c>
      <c r="D59" t="s">
        <v>174</v>
      </c>
      <c r="E59" t="str">
        <f>IF(Table13_1[[#This Row],[Country 1]]=" ","Unknown",Table13_1[[#This Row],[Country 1]])</f>
        <v>India</v>
      </c>
      <c r="F59" s="3">
        <v>84924</v>
      </c>
      <c r="G59" s="10">
        <v>42414</v>
      </c>
      <c r="H59" s="8">
        <v>5</v>
      </c>
      <c r="I59" t="s">
        <v>180</v>
      </c>
      <c r="J59" t="s">
        <v>211</v>
      </c>
    </row>
    <row r="60" spans="1:10" x14ac:dyDescent="0.3">
      <c r="A60" t="s">
        <v>68</v>
      </c>
      <c r="B60" t="s">
        <v>163</v>
      </c>
      <c r="C60" t="s">
        <v>166</v>
      </c>
      <c r="D60" t="s">
        <v>173</v>
      </c>
      <c r="E60" t="str">
        <f>IF(Table13_1[[#This Row],[Country 1]]=" ","Unknown",Table13_1[[#This Row],[Country 1]])</f>
        <v>USA</v>
      </c>
      <c r="F60" s="3">
        <v>82033</v>
      </c>
      <c r="G60" s="10">
        <v>42421</v>
      </c>
      <c r="H60" s="8">
        <v>1</v>
      </c>
      <c r="I60" t="s">
        <v>180</v>
      </c>
      <c r="J60" t="s">
        <v>271</v>
      </c>
    </row>
    <row r="61" spans="1:10" x14ac:dyDescent="0.3">
      <c r="A61" t="s">
        <v>69</v>
      </c>
      <c r="B61" t="s">
        <v>178</v>
      </c>
      <c r="C61" t="s">
        <v>170</v>
      </c>
      <c r="D61" t="s">
        <v>172</v>
      </c>
      <c r="E61" t="str">
        <f>IF(Table13_1[[#This Row],[Country 1]]=" ","Unknown",Table13_1[[#This Row],[Country 1]])</f>
        <v>Germany</v>
      </c>
      <c r="F61" s="3">
        <v>63686.692300000002</v>
      </c>
      <c r="G61" s="10">
        <v>42113</v>
      </c>
      <c r="H61" s="8">
        <v>5</v>
      </c>
      <c r="I61" t="s">
        <v>178</v>
      </c>
      <c r="J61" t="s">
        <v>209</v>
      </c>
    </row>
    <row r="62" spans="1:10" x14ac:dyDescent="0.3">
      <c r="A62" t="s">
        <v>70</v>
      </c>
      <c r="B62" t="s">
        <v>159</v>
      </c>
      <c r="C62" t="s">
        <v>168</v>
      </c>
      <c r="D62" t="s">
        <v>176</v>
      </c>
      <c r="E62" t="str">
        <f>IF(Table13_1[[#This Row],[Country 1]]=" ","Unknown",Table13_1[[#This Row],[Country 1]])</f>
        <v>Australia</v>
      </c>
      <c r="F62" s="3">
        <v>31499</v>
      </c>
      <c r="G62" s="10">
        <v>42435</v>
      </c>
      <c r="H62" s="8">
        <v>2</v>
      </c>
      <c r="I62" t="s">
        <v>181</v>
      </c>
      <c r="J62" t="s">
        <v>262</v>
      </c>
    </row>
    <row r="63" spans="1:10" x14ac:dyDescent="0.3">
      <c r="A63" t="s">
        <v>71</v>
      </c>
      <c r="B63" t="s">
        <v>164</v>
      </c>
      <c r="C63" t="s">
        <v>169</v>
      </c>
      <c r="D63" t="s">
        <v>175</v>
      </c>
      <c r="E63" t="str">
        <f>IF(Table13_1[[#This Row],[Country 1]]=" ","Unknown",Table13_1[[#This Row],[Country 1]])</f>
        <v>UK</v>
      </c>
      <c r="F63" s="3">
        <v>97981</v>
      </c>
      <c r="G63" s="10">
        <v>42442</v>
      </c>
      <c r="H63" s="8">
        <v>5</v>
      </c>
      <c r="I63" t="s">
        <v>181</v>
      </c>
      <c r="J63" t="s">
        <v>240</v>
      </c>
    </row>
    <row r="64" spans="1:10" x14ac:dyDescent="0.3">
      <c r="A64" t="s">
        <v>72</v>
      </c>
      <c r="B64" t="s">
        <v>159</v>
      </c>
      <c r="C64" t="s">
        <v>167</v>
      </c>
      <c r="D64" t="s">
        <v>173</v>
      </c>
      <c r="E64" t="str">
        <f>IF(Table13_1[[#This Row],[Country 1]]=" ","Unknown",Table13_1[[#This Row],[Country 1]])</f>
        <v>USA</v>
      </c>
      <c r="F64" s="3">
        <v>36541</v>
      </c>
      <c r="G64" s="10">
        <v>42449</v>
      </c>
      <c r="H64" s="8">
        <v>2</v>
      </c>
      <c r="I64" t="s">
        <v>179</v>
      </c>
      <c r="J64" t="s">
        <v>178</v>
      </c>
    </row>
    <row r="65" spans="1:10" x14ac:dyDescent="0.3">
      <c r="A65" t="s">
        <v>73</v>
      </c>
      <c r="B65" t="s">
        <v>161</v>
      </c>
      <c r="C65" t="s">
        <v>169</v>
      </c>
      <c r="D65" t="s">
        <v>174</v>
      </c>
      <c r="E65" t="str">
        <f>IF(Table13_1[[#This Row],[Country 1]]=" ","Unknown",Table13_1[[#This Row],[Country 1]])</f>
        <v>India</v>
      </c>
      <c r="F65" s="3">
        <v>84737</v>
      </c>
      <c r="G65" s="10">
        <v>42456</v>
      </c>
      <c r="H65" s="8">
        <v>1</v>
      </c>
      <c r="I65" t="s">
        <v>180</v>
      </c>
      <c r="J65" t="s">
        <v>202</v>
      </c>
    </row>
    <row r="66" spans="1:10" x14ac:dyDescent="0.3">
      <c r="A66" t="s">
        <v>74</v>
      </c>
      <c r="B66" t="s">
        <v>163</v>
      </c>
      <c r="C66" t="s">
        <v>166</v>
      </c>
      <c r="D66" t="s">
        <v>174</v>
      </c>
      <c r="E66" t="str">
        <f>IF(Table13_1[[#This Row],[Country 1]]=" ","Unknown",Table13_1[[#This Row],[Country 1]])</f>
        <v>India</v>
      </c>
      <c r="F66" s="3">
        <v>33468</v>
      </c>
      <c r="G66" s="10">
        <v>42463</v>
      </c>
      <c r="H66" s="8">
        <v>4</v>
      </c>
      <c r="I66" t="s">
        <v>180</v>
      </c>
      <c r="J66" t="s">
        <v>234</v>
      </c>
    </row>
    <row r="67" spans="1:10" x14ac:dyDescent="0.3">
      <c r="A67" t="s">
        <v>75</v>
      </c>
      <c r="B67" t="s">
        <v>163</v>
      </c>
      <c r="C67" t="s">
        <v>168</v>
      </c>
      <c r="D67" t="s">
        <v>176</v>
      </c>
      <c r="E67" t="str">
        <f>IF(Table13_1[[#This Row],[Country 1]]=" ","Unknown",Table13_1[[#This Row],[Country 1]])</f>
        <v>Australia</v>
      </c>
      <c r="F67" s="3">
        <v>96365</v>
      </c>
      <c r="G67" s="10">
        <v>42470</v>
      </c>
      <c r="H67" s="8">
        <v>3</v>
      </c>
      <c r="I67" t="s">
        <v>179</v>
      </c>
      <c r="J67" t="s">
        <v>263</v>
      </c>
    </row>
    <row r="68" spans="1:10" x14ac:dyDescent="0.3">
      <c r="A68" t="s">
        <v>76</v>
      </c>
      <c r="B68" t="s">
        <v>160</v>
      </c>
      <c r="C68" t="s">
        <v>168</v>
      </c>
      <c r="D68" t="s">
        <v>174</v>
      </c>
      <c r="E68" t="str">
        <f>IF(Table13_1[[#This Row],[Country 1]]=" ","Unknown",Table13_1[[#This Row],[Country 1]])</f>
        <v>India</v>
      </c>
      <c r="F68" s="3">
        <v>61942</v>
      </c>
      <c r="G68" s="10">
        <v>42477</v>
      </c>
      <c r="H68" s="8">
        <v>3</v>
      </c>
      <c r="I68" t="s">
        <v>181</v>
      </c>
      <c r="J68" t="s">
        <v>267</v>
      </c>
    </row>
    <row r="69" spans="1:10" x14ac:dyDescent="0.3">
      <c r="A69" t="s">
        <v>77</v>
      </c>
      <c r="B69" t="s">
        <v>163</v>
      </c>
      <c r="C69" t="s">
        <v>166</v>
      </c>
      <c r="D69" t="s">
        <v>175</v>
      </c>
      <c r="E69" t="str">
        <f>IF(Table13_1[[#This Row],[Country 1]]=" ","Unknown",Table13_1[[#This Row],[Country 1]])</f>
        <v>UK</v>
      </c>
      <c r="F69" s="3">
        <v>41467</v>
      </c>
      <c r="G69" s="10">
        <v>42484</v>
      </c>
      <c r="H69" s="8">
        <v>2</v>
      </c>
      <c r="I69" t="s">
        <v>181</v>
      </c>
      <c r="J69" t="s">
        <v>225</v>
      </c>
    </row>
    <row r="70" spans="1:10" x14ac:dyDescent="0.3">
      <c r="A70" t="s">
        <v>78</v>
      </c>
      <c r="B70" t="s">
        <v>165</v>
      </c>
      <c r="C70" t="s">
        <v>166</v>
      </c>
      <c r="D70" t="s">
        <v>174</v>
      </c>
      <c r="E70" t="str">
        <f>IF(Table13_1[[#This Row],[Country 1]]=" ","Unknown",Table13_1[[#This Row],[Country 1]])</f>
        <v>India</v>
      </c>
      <c r="F70" s="3">
        <v>77096</v>
      </c>
      <c r="G70" s="10">
        <v>42491</v>
      </c>
      <c r="H70" s="8">
        <v>1</v>
      </c>
      <c r="I70" t="s">
        <v>180</v>
      </c>
      <c r="J70" t="s">
        <v>211</v>
      </c>
    </row>
    <row r="71" spans="1:10" x14ac:dyDescent="0.3">
      <c r="A71" t="s">
        <v>79</v>
      </c>
      <c r="B71" t="s">
        <v>159</v>
      </c>
      <c r="C71" t="s">
        <v>168</v>
      </c>
      <c r="D71" t="s">
        <v>176</v>
      </c>
      <c r="E71" t="str">
        <f>IF(Table13_1[[#This Row],[Country 1]]=" ","Unknown",Table13_1[[#This Row],[Country 1]])</f>
        <v>Australia</v>
      </c>
      <c r="F71" s="3">
        <v>69952</v>
      </c>
      <c r="G71" s="10">
        <v>42498</v>
      </c>
      <c r="H71" s="8">
        <v>5</v>
      </c>
      <c r="I71" t="s">
        <v>181</v>
      </c>
      <c r="J71" t="s">
        <v>257</v>
      </c>
    </row>
    <row r="72" spans="1:10" x14ac:dyDescent="0.3">
      <c r="A72" t="s">
        <v>80</v>
      </c>
      <c r="B72" t="s">
        <v>159</v>
      </c>
      <c r="C72" t="s">
        <v>170</v>
      </c>
      <c r="D72" t="s">
        <v>173</v>
      </c>
      <c r="E72" t="str">
        <f>IF(Table13_1[[#This Row],[Country 1]]=" ","Unknown",Table13_1[[#This Row],[Country 1]])</f>
        <v>USA</v>
      </c>
      <c r="F72" s="3">
        <v>85065</v>
      </c>
      <c r="G72" s="10">
        <v>42505</v>
      </c>
      <c r="H72" s="8">
        <v>3</v>
      </c>
      <c r="I72" t="s">
        <v>179</v>
      </c>
      <c r="J72" t="s">
        <v>221</v>
      </c>
    </row>
    <row r="73" spans="1:10" x14ac:dyDescent="0.3">
      <c r="A73" t="s">
        <v>81</v>
      </c>
      <c r="B73" t="s">
        <v>165</v>
      </c>
      <c r="C73" t="s">
        <v>170</v>
      </c>
      <c r="D73" t="s">
        <v>174</v>
      </c>
      <c r="E73" t="str">
        <f>IF(Table13_1[[#This Row],[Country 1]]=" ","Unknown",Table13_1[[#This Row],[Country 1]])</f>
        <v>India</v>
      </c>
      <c r="F73" s="3">
        <v>56512</v>
      </c>
      <c r="G73" s="10">
        <v>42512</v>
      </c>
      <c r="H73" s="8">
        <v>2.879032258064516</v>
      </c>
      <c r="I73" t="s">
        <v>179</v>
      </c>
      <c r="J73" t="s">
        <v>264</v>
      </c>
    </row>
    <row r="74" spans="1:10" x14ac:dyDescent="0.3">
      <c r="A74" t="s">
        <v>82</v>
      </c>
      <c r="B74" t="s">
        <v>161</v>
      </c>
      <c r="C74" t="s">
        <v>168</v>
      </c>
      <c r="D74" t="s">
        <v>174</v>
      </c>
      <c r="E74" t="str">
        <f>IF(Table13_1[[#This Row],[Country 1]]=" ","Unknown",Table13_1[[#This Row],[Country 1]])</f>
        <v>India</v>
      </c>
      <c r="F74" s="3">
        <v>91101</v>
      </c>
      <c r="G74" s="10">
        <v>42519</v>
      </c>
      <c r="H74" s="8">
        <v>4</v>
      </c>
      <c r="I74" t="s">
        <v>181</v>
      </c>
      <c r="J74" t="s">
        <v>200</v>
      </c>
    </row>
    <row r="75" spans="1:10" x14ac:dyDescent="0.3">
      <c r="A75" t="s">
        <v>83</v>
      </c>
      <c r="B75" t="s">
        <v>163</v>
      </c>
      <c r="C75" t="s">
        <v>167</v>
      </c>
      <c r="D75" t="s">
        <v>172</v>
      </c>
      <c r="E75" t="str">
        <f>IF(Table13_1[[#This Row],[Country 1]]=" ","Unknown",Table13_1[[#This Row],[Country 1]])</f>
        <v>Germany</v>
      </c>
      <c r="F75" s="3">
        <v>41243</v>
      </c>
      <c r="G75" s="10">
        <v>42526</v>
      </c>
      <c r="H75" s="8">
        <v>2.879032258064516</v>
      </c>
      <c r="I75" t="s">
        <v>179</v>
      </c>
      <c r="J75" t="s">
        <v>236</v>
      </c>
    </row>
    <row r="76" spans="1:10" x14ac:dyDescent="0.3">
      <c r="A76" t="s">
        <v>84</v>
      </c>
      <c r="B76" t="s">
        <v>178</v>
      </c>
      <c r="C76" t="s">
        <v>168</v>
      </c>
      <c r="D76" t="s">
        <v>171</v>
      </c>
      <c r="E76" t="str">
        <f>IF(Table13_1[[#This Row],[Country 1]]=" ","Unknown",Table13_1[[#This Row],[Country 1]])</f>
        <v>Unknown</v>
      </c>
      <c r="F76" s="3">
        <v>96142</v>
      </c>
      <c r="G76" s="10">
        <v>42533</v>
      </c>
      <c r="H76" s="8">
        <v>1</v>
      </c>
      <c r="I76" t="s">
        <v>179</v>
      </c>
      <c r="J76" t="s">
        <v>195</v>
      </c>
    </row>
    <row r="77" spans="1:10" x14ac:dyDescent="0.3">
      <c r="A77" t="s">
        <v>85</v>
      </c>
      <c r="B77" t="s">
        <v>159</v>
      </c>
      <c r="C77" t="s">
        <v>169</v>
      </c>
      <c r="D77" t="s">
        <v>174</v>
      </c>
      <c r="E77" t="str">
        <f>IF(Table13_1[[#This Row],[Country 1]]=" ","Unknown",Table13_1[[#This Row],[Country 1]])</f>
        <v>India</v>
      </c>
      <c r="F77" s="3">
        <v>94301</v>
      </c>
      <c r="G77" s="10">
        <v>42540</v>
      </c>
      <c r="H77" s="8">
        <v>1</v>
      </c>
      <c r="I77" t="s">
        <v>180</v>
      </c>
      <c r="J77" t="s">
        <v>203</v>
      </c>
    </row>
    <row r="78" spans="1:10" x14ac:dyDescent="0.3">
      <c r="A78" t="s">
        <v>86</v>
      </c>
      <c r="B78" t="s">
        <v>162</v>
      </c>
      <c r="C78" t="s">
        <v>168</v>
      </c>
      <c r="D78" t="s">
        <v>175</v>
      </c>
      <c r="E78" t="str">
        <f>IF(Table13_1[[#This Row],[Country 1]]=" ","Unknown",Table13_1[[#This Row],[Country 1]])</f>
        <v>UK</v>
      </c>
      <c r="F78" s="3">
        <v>69166</v>
      </c>
      <c r="G78" s="10">
        <v>42547</v>
      </c>
      <c r="H78" s="8">
        <v>1</v>
      </c>
      <c r="I78" t="s">
        <v>181</v>
      </c>
      <c r="J78" t="s">
        <v>223</v>
      </c>
    </row>
    <row r="79" spans="1:10" x14ac:dyDescent="0.3">
      <c r="A79" t="s">
        <v>87</v>
      </c>
      <c r="B79" t="s">
        <v>163</v>
      </c>
      <c r="C79" t="s">
        <v>168</v>
      </c>
      <c r="D79" t="s">
        <v>175</v>
      </c>
      <c r="E79" t="str">
        <f>IF(Table13_1[[#This Row],[Country 1]]=" ","Unknown",Table13_1[[#This Row],[Country 1]])</f>
        <v>UK</v>
      </c>
      <c r="F79" s="3">
        <v>78245</v>
      </c>
      <c r="G79" s="10">
        <v>42554</v>
      </c>
      <c r="H79" s="8">
        <v>2</v>
      </c>
      <c r="I79" t="s">
        <v>181</v>
      </c>
      <c r="J79" t="s">
        <v>259</v>
      </c>
    </row>
    <row r="80" spans="1:10" x14ac:dyDescent="0.3">
      <c r="A80" t="s">
        <v>88</v>
      </c>
      <c r="B80" t="s">
        <v>164</v>
      </c>
      <c r="C80" t="s">
        <v>168</v>
      </c>
      <c r="D80" t="s">
        <v>173</v>
      </c>
      <c r="E80" t="str">
        <f>IF(Table13_1[[#This Row],[Country 1]]=" ","Unknown",Table13_1[[#This Row],[Country 1]])</f>
        <v>USA</v>
      </c>
      <c r="F80" s="3">
        <v>66079</v>
      </c>
      <c r="G80" s="10">
        <v>42561</v>
      </c>
      <c r="H80" s="8">
        <v>2</v>
      </c>
      <c r="I80" t="s">
        <v>179</v>
      </c>
      <c r="J80" t="s">
        <v>183</v>
      </c>
    </row>
    <row r="81" spans="1:10" x14ac:dyDescent="0.3">
      <c r="A81" t="s">
        <v>89</v>
      </c>
      <c r="B81" t="s">
        <v>159</v>
      </c>
      <c r="C81" t="s">
        <v>170</v>
      </c>
      <c r="D81" t="s">
        <v>174</v>
      </c>
      <c r="E81" t="str">
        <f>IF(Table13_1[[#This Row],[Country 1]]=" ","Unknown",Table13_1[[#This Row],[Country 1]])</f>
        <v>India</v>
      </c>
      <c r="F81" s="3">
        <v>63686.692300000002</v>
      </c>
      <c r="G81" s="10">
        <v>42113</v>
      </c>
      <c r="H81" s="8">
        <v>2.879032258064516</v>
      </c>
      <c r="I81" t="s">
        <v>179</v>
      </c>
      <c r="J81" t="s">
        <v>231</v>
      </c>
    </row>
    <row r="82" spans="1:10" x14ac:dyDescent="0.3">
      <c r="A82" t="s">
        <v>90</v>
      </c>
      <c r="B82" t="s">
        <v>162</v>
      </c>
      <c r="C82" t="s">
        <v>168</v>
      </c>
      <c r="D82" t="s">
        <v>173</v>
      </c>
      <c r="E82" t="str">
        <f>IF(Table13_1[[#This Row],[Country 1]]=" ","Unknown",Table13_1[[#This Row],[Country 1]])</f>
        <v>USA</v>
      </c>
      <c r="F82" s="3">
        <v>95621</v>
      </c>
      <c r="G82" s="10">
        <v>42575</v>
      </c>
      <c r="H82" s="8">
        <v>3</v>
      </c>
      <c r="I82" t="s">
        <v>181</v>
      </c>
      <c r="J82" t="s">
        <v>193</v>
      </c>
    </row>
    <row r="83" spans="1:10" x14ac:dyDescent="0.3">
      <c r="A83" t="s">
        <v>91</v>
      </c>
      <c r="B83" t="s">
        <v>159</v>
      </c>
      <c r="C83" t="s">
        <v>169</v>
      </c>
      <c r="D83" t="s">
        <v>175</v>
      </c>
      <c r="E83" t="str">
        <f>IF(Table13_1[[#This Row],[Country 1]]=" ","Unknown",Table13_1[[#This Row],[Country 1]])</f>
        <v>UK</v>
      </c>
      <c r="F83" s="3">
        <v>42262</v>
      </c>
      <c r="G83" s="10">
        <v>42582</v>
      </c>
      <c r="H83" s="8">
        <v>1</v>
      </c>
      <c r="I83" t="s">
        <v>181</v>
      </c>
      <c r="J83" t="s">
        <v>225</v>
      </c>
    </row>
    <row r="84" spans="1:10" x14ac:dyDescent="0.3">
      <c r="A84" t="s">
        <v>92</v>
      </c>
      <c r="B84" t="s">
        <v>163</v>
      </c>
      <c r="C84" t="s">
        <v>168</v>
      </c>
      <c r="D84" t="s">
        <v>174</v>
      </c>
      <c r="E84" t="str">
        <f>IF(Table13_1[[#This Row],[Country 1]]=" ","Unknown",Table13_1[[#This Row],[Country 1]])</f>
        <v>India</v>
      </c>
      <c r="F84" s="3">
        <v>99621</v>
      </c>
      <c r="G84" s="10">
        <v>42589</v>
      </c>
      <c r="H84" s="8">
        <v>2.879032258064516</v>
      </c>
      <c r="I84" t="s">
        <v>179</v>
      </c>
      <c r="J84" t="s">
        <v>268</v>
      </c>
    </row>
    <row r="85" spans="1:10" x14ac:dyDescent="0.3">
      <c r="A85" t="s">
        <v>93</v>
      </c>
      <c r="B85" t="s">
        <v>161</v>
      </c>
      <c r="C85" t="s">
        <v>170</v>
      </c>
      <c r="D85" t="s">
        <v>174</v>
      </c>
      <c r="E85" t="str">
        <f>IF(Table13_1[[#This Row],[Country 1]]=" ","Unknown",Table13_1[[#This Row],[Country 1]])</f>
        <v>India</v>
      </c>
      <c r="F85" s="3">
        <v>44682</v>
      </c>
      <c r="G85" s="10">
        <v>42596</v>
      </c>
      <c r="H85" s="8">
        <v>4</v>
      </c>
      <c r="I85" t="s">
        <v>181</v>
      </c>
      <c r="J85" t="s">
        <v>214</v>
      </c>
    </row>
    <row r="86" spans="1:10" x14ac:dyDescent="0.3">
      <c r="A86" t="s">
        <v>94</v>
      </c>
      <c r="B86" t="s">
        <v>164</v>
      </c>
      <c r="C86" t="s">
        <v>166</v>
      </c>
      <c r="D86" t="s">
        <v>175</v>
      </c>
      <c r="E86" t="str">
        <f>IF(Table13_1[[#This Row],[Country 1]]=" ","Unknown",Table13_1[[#This Row],[Country 1]])</f>
        <v>UK</v>
      </c>
      <c r="F86" s="3">
        <v>35163</v>
      </c>
      <c r="G86" s="10">
        <v>42603</v>
      </c>
      <c r="H86" s="8">
        <v>5</v>
      </c>
      <c r="I86" t="s">
        <v>179</v>
      </c>
      <c r="J86" t="s">
        <v>250</v>
      </c>
    </row>
    <row r="87" spans="1:10" x14ac:dyDescent="0.3">
      <c r="A87" t="s">
        <v>95</v>
      </c>
      <c r="B87" t="s">
        <v>164</v>
      </c>
      <c r="C87" t="s">
        <v>169</v>
      </c>
      <c r="D87" t="s">
        <v>174</v>
      </c>
      <c r="E87" t="str">
        <f>IF(Table13_1[[#This Row],[Country 1]]=" ","Unknown",Table13_1[[#This Row],[Country 1]])</f>
        <v>India</v>
      </c>
      <c r="F87" s="3">
        <v>33483</v>
      </c>
      <c r="G87" s="10">
        <v>42610</v>
      </c>
      <c r="H87" s="8">
        <v>4</v>
      </c>
      <c r="I87" t="s">
        <v>180</v>
      </c>
      <c r="J87" t="s">
        <v>204</v>
      </c>
    </row>
    <row r="88" spans="1:10" x14ac:dyDescent="0.3">
      <c r="A88" t="s">
        <v>96</v>
      </c>
      <c r="B88" t="s">
        <v>163</v>
      </c>
      <c r="C88" t="s">
        <v>167</v>
      </c>
      <c r="D88" t="s">
        <v>172</v>
      </c>
      <c r="E88" t="str">
        <f>IF(Table13_1[[#This Row],[Country 1]]=" ","Unknown",Table13_1[[#This Row],[Country 1]])</f>
        <v>Germany</v>
      </c>
      <c r="F88" s="3">
        <v>55303</v>
      </c>
      <c r="G88" s="10">
        <v>42617</v>
      </c>
      <c r="H88" s="8">
        <v>4</v>
      </c>
      <c r="I88" t="s">
        <v>180</v>
      </c>
      <c r="J88" t="s">
        <v>186</v>
      </c>
    </row>
    <row r="89" spans="1:10" x14ac:dyDescent="0.3">
      <c r="A89" t="s">
        <v>97</v>
      </c>
      <c r="B89" t="s">
        <v>164</v>
      </c>
      <c r="C89" t="s">
        <v>169</v>
      </c>
      <c r="D89" t="s">
        <v>171</v>
      </c>
      <c r="E89" t="str">
        <f>IF(Table13_1[[#This Row],[Country 1]]=" ","Unknown",Table13_1[[#This Row],[Country 1]])</f>
        <v>Unknown</v>
      </c>
      <c r="F89" s="3">
        <v>63434</v>
      </c>
      <c r="G89" s="10">
        <v>42624</v>
      </c>
      <c r="H89" s="8">
        <v>3</v>
      </c>
      <c r="I89" t="s">
        <v>179</v>
      </c>
      <c r="J89" t="s">
        <v>243</v>
      </c>
    </row>
    <row r="90" spans="1:10" x14ac:dyDescent="0.3">
      <c r="A90" t="s">
        <v>98</v>
      </c>
      <c r="B90" t="s">
        <v>162</v>
      </c>
      <c r="C90" t="s">
        <v>168</v>
      </c>
      <c r="D90" t="s">
        <v>176</v>
      </c>
      <c r="E90" t="str">
        <f>IF(Table13_1[[#This Row],[Country 1]]=" ","Unknown",Table13_1[[#This Row],[Country 1]])</f>
        <v>Australia</v>
      </c>
      <c r="F90" s="3">
        <v>38830</v>
      </c>
      <c r="G90" s="10">
        <v>42631</v>
      </c>
      <c r="H90" s="8">
        <v>3</v>
      </c>
      <c r="I90" t="s">
        <v>179</v>
      </c>
      <c r="J90" t="s">
        <v>264</v>
      </c>
    </row>
    <row r="91" spans="1:10" x14ac:dyDescent="0.3">
      <c r="A91" t="s">
        <v>99</v>
      </c>
      <c r="B91" t="s">
        <v>178</v>
      </c>
      <c r="C91" t="s">
        <v>170</v>
      </c>
      <c r="D91" t="s">
        <v>175</v>
      </c>
      <c r="E91" t="str">
        <f>IF(Table13_1[[#This Row],[Country 1]]=" ","Unknown",Table13_1[[#This Row],[Country 1]])</f>
        <v>UK</v>
      </c>
      <c r="F91" s="3">
        <v>50741</v>
      </c>
      <c r="G91" s="10">
        <v>42638</v>
      </c>
      <c r="H91" s="8">
        <v>3</v>
      </c>
      <c r="I91" t="s">
        <v>178</v>
      </c>
      <c r="J91" t="s">
        <v>246</v>
      </c>
    </row>
    <row r="92" spans="1:10" x14ac:dyDescent="0.3">
      <c r="A92" t="s">
        <v>100</v>
      </c>
      <c r="B92" t="s">
        <v>160</v>
      </c>
      <c r="C92" t="s">
        <v>167</v>
      </c>
      <c r="D92" t="s">
        <v>176</v>
      </c>
      <c r="E92" t="str">
        <f>IF(Table13_1[[#This Row],[Country 1]]=" ","Unknown",Table13_1[[#This Row],[Country 1]])</f>
        <v>Australia</v>
      </c>
      <c r="F92" s="3">
        <v>69420</v>
      </c>
      <c r="G92" s="10">
        <v>42645</v>
      </c>
      <c r="H92" s="8">
        <v>1</v>
      </c>
      <c r="I92" t="s">
        <v>180</v>
      </c>
      <c r="J92" t="s">
        <v>278</v>
      </c>
    </row>
    <row r="93" spans="1:10" x14ac:dyDescent="0.3">
      <c r="A93" t="s">
        <v>101</v>
      </c>
      <c r="B93" t="s">
        <v>162</v>
      </c>
      <c r="C93" t="s">
        <v>169</v>
      </c>
      <c r="D93" t="s">
        <v>171</v>
      </c>
      <c r="E93" t="str">
        <f>IF(Table13_1[[#This Row],[Country 1]]=" ","Unknown",Table13_1[[#This Row],[Country 1]])</f>
        <v>Unknown</v>
      </c>
      <c r="F93" s="3">
        <v>80588</v>
      </c>
      <c r="G93" s="10">
        <v>42652</v>
      </c>
      <c r="H93" s="8">
        <v>5</v>
      </c>
      <c r="I93" t="s">
        <v>180</v>
      </c>
      <c r="J93" t="s">
        <v>178</v>
      </c>
    </row>
    <row r="94" spans="1:10" x14ac:dyDescent="0.3">
      <c r="A94" t="s">
        <v>102</v>
      </c>
      <c r="B94" t="s">
        <v>160</v>
      </c>
      <c r="C94" t="s">
        <v>169</v>
      </c>
      <c r="D94" t="s">
        <v>173</v>
      </c>
      <c r="E94" t="str">
        <f>IF(Table13_1[[#This Row],[Country 1]]=" ","Unknown",Table13_1[[#This Row],[Country 1]])</f>
        <v>USA</v>
      </c>
      <c r="F94" s="3">
        <v>76238</v>
      </c>
      <c r="G94" s="10">
        <v>42659</v>
      </c>
      <c r="H94" s="8">
        <v>4</v>
      </c>
      <c r="I94" t="s">
        <v>180</v>
      </c>
      <c r="J94" t="s">
        <v>254</v>
      </c>
    </row>
    <row r="95" spans="1:10" x14ac:dyDescent="0.3">
      <c r="A95" t="s">
        <v>103</v>
      </c>
      <c r="B95" t="s">
        <v>165</v>
      </c>
      <c r="C95" t="s">
        <v>169</v>
      </c>
      <c r="D95" t="s">
        <v>174</v>
      </c>
      <c r="E95" t="str">
        <f>IF(Table13_1[[#This Row],[Country 1]]=" ","Unknown",Table13_1[[#This Row],[Country 1]])</f>
        <v>India</v>
      </c>
      <c r="F95" s="3">
        <v>33264</v>
      </c>
      <c r="G95" s="10">
        <v>42666</v>
      </c>
      <c r="H95" s="8">
        <v>2.879032258064516</v>
      </c>
      <c r="I95" t="s">
        <v>181</v>
      </c>
      <c r="J95" t="s">
        <v>205</v>
      </c>
    </row>
    <row r="96" spans="1:10" x14ac:dyDescent="0.3">
      <c r="A96" t="s">
        <v>104</v>
      </c>
      <c r="B96" t="s">
        <v>160</v>
      </c>
      <c r="C96" t="s">
        <v>166</v>
      </c>
      <c r="D96" t="s">
        <v>176</v>
      </c>
      <c r="E96" t="str">
        <f>IF(Table13_1[[#This Row],[Country 1]]=" ","Unknown",Table13_1[[#This Row],[Country 1]])</f>
        <v>Australia</v>
      </c>
      <c r="F96" s="3">
        <v>96101</v>
      </c>
      <c r="G96" s="10">
        <v>42673</v>
      </c>
      <c r="H96" s="8">
        <v>2.879032258064516</v>
      </c>
      <c r="I96" t="s">
        <v>179</v>
      </c>
      <c r="J96" t="s">
        <v>201</v>
      </c>
    </row>
    <row r="97" spans="1:10" x14ac:dyDescent="0.3">
      <c r="A97" t="s">
        <v>105</v>
      </c>
      <c r="B97" t="s">
        <v>162</v>
      </c>
      <c r="C97" t="s">
        <v>166</v>
      </c>
      <c r="D97" t="s">
        <v>173</v>
      </c>
      <c r="E97" t="str">
        <f>IF(Table13_1[[#This Row],[Country 1]]=" ","Unknown",Table13_1[[#This Row],[Country 1]])</f>
        <v>USA</v>
      </c>
      <c r="F97" s="3">
        <v>72939</v>
      </c>
      <c r="G97" s="10">
        <v>42680</v>
      </c>
      <c r="H97" s="8">
        <v>3</v>
      </c>
      <c r="I97" t="s">
        <v>180</v>
      </c>
      <c r="J97" t="s">
        <v>272</v>
      </c>
    </row>
    <row r="98" spans="1:10" x14ac:dyDescent="0.3">
      <c r="A98" t="s">
        <v>106</v>
      </c>
      <c r="B98" t="s">
        <v>163</v>
      </c>
      <c r="C98" t="s">
        <v>167</v>
      </c>
      <c r="D98" t="s">
        <v>172</v>
      </c>
      <c r="E98" t="str">
        <f>IF(Table13_1[[#This Row],[Country 1]]=" ","Unknown",Table13_1[[#This Row],[Country 1]])</f>
        <v>Germany</v>
      </c>
      <c r="F98" s="3">
        <v>89333</v>
      </c>
      <c r="G98" s="10">
        <v>42687</v>
      </c>
      <c r="H98" s="8">
        <v>1</v>
      </c>
      <c r="I98" t="s">
        <v>180</v>
      </c>
      <c r="J98" t="s">
        <v>187</v>
      </c>
    </row>
    <row r="99" spans="1:10" x14ac:dyDescent="0.3">
      <c r="A99" t="s">
        <v>107</v>
      </c>
      <c r="B99" t="s">
        <v>165</v>
      </c>
      <c r="C99" t="s">
        <v>169</v>
      </c>
      <c r="D99" t="s">
        <v>176</v>
      </c>
      <c r="E99" t="str">
        <f>IF(Table13_1[[#This Row],[Country 1]]=" ","Unknown",Table13_1[[#This Row],[Country 1]])</f>
        <v>Australia</v>
      </c>
      <c r="F99" s="3">
        <v>70470</v>
      </c>
      <c r="G99" s="10">
        <v>42694</v>
      </c>
      <c r="H99" s="8">
        <v>2.879032258064516</v>
      </c>
      <c r="I99" t="s">
        <v>180</v>
      </c>
      <c r="J99" t="s">
        <v>275</v>
      </c>
    </row>
    <row r="100" spans="1:10" x14ac:dyDescent="0.3">
      <c r="A100" t="s">
        <v>108</v>
      </c>
      <c r="B100" t="s">
        <v>159</v>
      </c>
      <c r="C100" t="s">
        <v>170</v>
      </c>
      <c r="D100" t="s">
        <v>173</v>
      </c>
      <c r="E100" t="str">
        <f>IF(Table13_1[[#This Row],[Country 1]]=" ","Unknown",Table13_1[[#This Row],[Country 1]])</f>
        <v>USA</v>
      </c>
      <c r="F100" s="3">
        <v>70096</v>
      </c>
      <c r="G100" s="10">
        <v>42701</v>
      </c>
      <c r="H100" s="8">
        <v>4</v>
      </c>
      <c r="I100" t="s">
        <v>180</v>
      </c>
      <c r="J100" t="s">
        <v>189</v>
      </c>
    </row>
    <row r="101" spans="1:10" x14ac:dyDescent="0.3">
      <c r="A101" t="s">
        <v>109</v>
      </c>
      <c r="B101" t="s">
        <v>165</v>
      </c>
      <c r="C101" t="s">
        <v>170</v>
      </c>
      <c r="D101" t="s">
        <v>171</v>
      </c>
      <c r="E101" t="str">
        <f>IF(Table13_1[[#This Row],[Country 1]]=" ","Unknown",Table13_1[[#This Row],[Country 1]])</f>
        <v>Unknown</v>
      </c>
      <c r="F101" s="3">
        <v>63686.692300000002</v>
      </c>
      <c r="G101" s="10">
        <v>42708</v>
      </c>
      <c r="H101" s="8">
        <v>2</v>
      </c>
      <c r="I101" t="s">
        <v>179</v>
      </c>
      <c r="J101" t="s">
        <v>276</v>
      </c>
    </row>
    <row r="102" spans="1:10" x14ac:dyDescent="0.3">
      <c r="A102" t="s">
        <v>110</v>
      </c>
      <c r="B102" t="s">
        <v>165</v>
      </c>
      <c r="C102" t="s">
        <v>169</v>
      </c>
      <c r="D102" t="s">
        <v>172</v>
      </c>
      <c r="E102" t="str">
        <f>IF(Table13_1[[#This Row],[Country 1]]=" ","Unknown",Table13_1[[#This Row],[Country 1]])</f>
        <v>Germany</v>
      </c>
      <c r="F102" s="3">
        <v>66503</v>
      </c>
      <c r="G102" s="10">
        <v>42715</v>
      </c>
      <c r="H102" s="8">
        <v>2.879032258064516</v>
      </c>
      <c r="I102" t="s">
        <v>180</v>
      </c>
      <c r="J102" t="s">
        <v>217</v>
      </c>
    </row>
    <row r="103" spans="1:10" x14ac:dyDescent="0.3">
      <c r="A103" t="s">
        <v>111</v>
      </c>
      <c r="B103" t="s">
        <v>160</v>
      </c>
      <c r="C103" t="s">
        <v>167</v>
      </c>
      <c r="D103" t="s">
        <v>172</v>
      </c>
      <c r="E103" t="str">
        <f>IF(Table13_1[[#This Row],[Country 1]]=" ","Unknown",Table13_1[[#This Row],[Country 1]])</f>
        <v>Germany</v>
      </c>
      <c r="F103" s="3">
        <v>42096</v>
      </c>
      <c r="G103" s="10">
        <v>42722</v>
      </c>
      <c r="H103" s="8">
        <v>2.879032258064516</v>
      </c>
      <c r="I103" t="s">
        <v>181</v>
      </c>
      <c r="J103" t="s">
        <v>185</v>
      </c>
    </row>
    <row r="104" spans="1:10" x14ac:dyDescent="0.3">
      <c r="A104" t="s">
        <v>112</v>
      </c>
      <c r="B104" t="s">
        <v>160</v>
      </c>
      <c r="C104" t="s">
        <v>170</v>
      </c>
      <c r="D104" t="s">
        <v>174</v>
      </c>
      <c r="E104" t="str">
        <f>IF(Table13_1[[#This Row],[Country 1]]=" ","Unknown",Table13_1[[#This Row],[Country 1]])</f>
        <v>India</v>
      </c>
      <c r="F104" s="3">
        <v>79145</v>
      </c>
      <c r="G104" s="10">
        <v>42729</v>
      </c>
      <c r="H104" s="8">
        <v>5</v>
      </c>
      <c r="I104" t="s">
        <v>179</v>
      </c>
      <c r="J104" t="s">
        <v>212</v>
      </c>
    </row>
    <row r="105" spans="1:10" x14ac:dyDescent="0.3">
      <c r="A105" t="s">
        <v>113</v>
      </c>
      <c r="B105" t="s">
        <v>162</v>
      </c>
      <c r="C105" t="s">
        <v>168</v>
      </c>
      <c r="D105" t="s">
        <v>176</v>
      </c>
      <c r="E105" t="str">
        <f>IF(Table13_1[[#This Row],[Country 1]]=" ","Unknown",Table13_1[[#This Row],[Country 1]])</f>
        <v>Australia</v>
      </c>
      <c r="F105" s="3">
        <v>61556</v>
      </c>
      <c r="G105" s="10">
        <v>42736</v>
      </c>
      <c r="H105" s="8">
        <v>1</v>
      </c>
      <c r="I105" t="s">
        <v>179</v>
      </c>
      <c r="J105" t="s">
        <v>239</v>
      </c>
    </row>
    <row r="106" spans="1:10" x14ac:dyDescent="0.3">
      <c r="A106" t="s">
        <v>114</v>
      </c>
      <c r="B106" t="s">
        <v>178</v>
      </c>
      <c r="C106" t="s">
        <v>167</v>
      </c>
      <c r="D106" t="s">
        <v>175</v>
      </c>
      <c r="E106" t="str">
        <f>IF(Table13_1[[#This Row],[Country 1]]=" ","Unknown",Table13_1[[#This Row],[Country 1]])</f>
        <v>UK</v>
      </c>
      <c r="F106" s="3">
        <v>87963</v>
      </c>
      <c r="G106" s="10">
        <v>42743</v>
      </c>
      <c r="H106" s="8">
        <v>3</v>
      </c>
      <c r="I106" t="s">
        <v>179</v>
      </c>
      <c r="J106" t="s">
        <v>221</v>
      </c>
    </row>
    <row r="107" spans="1:10" x14ac:dyDescent="0.3">
      <c r="A107" t="s">
        <v>115</v>
      </c>
      <c r="B107" t="s">
        <v>159</v>
      </c>
      <c r="C107" t="s">
        <v>169</v>
      </c>
      <c r="D107" t="s">
        <v>171</v>
      </c>
      <c r="E107" t="str">
        <f>IF(Table13_1[[#This Row],[Country 1]]=" ","Unknown",Table13_1[[#This Row],[Country 1]])</f>
        <v>Unknown</v>
      </c>
      <c r="F107" s="3">
        <v>48325</v>
      </c>
      <c r="G107" s="10">
        <v>42750</v>
      </c>
      <c r="H107" s="8">
        <v>2.879032258064516</v>
      </c>
      <c r="I107" t="s">
        <v>180</v>
      </c>
      <c r="J107" t="s">
        <v>207</v>
      </c>
    </row>
    <row r="108" spans="1:10" x14ac:dyDescent="0.3">
      <c r="A108" t="s">
        <v>116</v>
      </c>
      <c r="B108" t="s">
        <v>163</v>
      </c>
      <c r="C108" t="s">
        <v>170</v>
      </c>
      <c r="D108" t="s">
        <v>176</v>
      </c>
      <c r="E108" t="str">
        <f>IF(Table13_1[[#This Row],[Country 1]]=" ","Unknown",Table13_1[[#This Row],[Country 1]])</f>
        <v>Australia</v>
      </c>
      <c r="F108" s="3">
        <v>86412</v>
      </c>
      <c r="G108" s="10">
        <v>42757</v>
      </c>
      <c r="H108" s="8">
        <v>2</v>
      </c>
      <c r="I108" t="s">
        <v>181</v>
      </c>
      <c r="J108" t="s">
        <v>265</v>
      </c>
    </row>
    <row r="109" spans="1:10" x14ac:dyDescent="0.3">
      <c r="A109" t="s">
        <v>117</v>
      </c>
      <c r="B109" t="s">
        <v>163</v>
      </c>
      <c r="C109" t="s">
        <v>167</v>
      </c>
      <c r="D109" t="s">
        <v>174</v>
      </c>
      <c r="E109" t="str">
        <f>IF(Table13_1[[#This Row],[Country 1]]=" ","Unknown",Table13_1[[#This Row],[Country 1]])</f>
        <v>India</v>
      </c>
      <c r="F109" s="3">
        <v>66761</v>
      </c>
      <c r="G109" s="10">
        <v>42764</v>
      </c>
      <c r="H109" s="8">
        <v>1</v>
      </c>
      <c r="I109" t="s">
        <v>179</v>
      </c>
      <c r="J109" t="s">
        <v>234</v>
      </c>
    </row>
    <row r="110" spans="1:10" x14ac:dyDescent="0.3">
      <c r="A110" t="s">
        <v>118</v>
      </c>
      <c r="B110" t="s">
        <v>162</v>
      </c>
      <c r="C110" t="s">
        <v>169</v>
      </c>
      <c r="D110" t="s">
        <v>174</v>
      </c>
      <c r="E110" t="str">
        <f>IF(Table13_1[[#This Row],[Country 1]]=" ","Unknown",Table13_1[[#This Row],[Country 1]])</f>
        <v>India</v>
      </c>
      <c r="F110" s="3">
        <v>88850</v>
      </c>
      <c r="G110" s="10">
        <v>42771</v>
      </c>
      <c r="H110" s="8">
        <v>1</v>
      </c>
      <c r="I110" t="s">
        <v>181</v>
      </c>
      <c r="J110" t="s">
        <v>231</v>
      </c>
    </row>
    <row r="111" spans="1:10" x14ac:dyDescent="0.3">
      <c r="A111" t="s">
        <v>119</v>
      </c>
      <c r="B111" t="s">
        <v>164</v>
      </c>
      <c r="C111" t="s">
        <v>168</v>
      </c>
      <c r="D111" t="s">
        <v>174</v>
      </c>
      <c r="E111" t="str">
        <f>IF(Table13_1[[#This Row],[Country 1]]=" ","Unknown",Table13_1[[#This Row],[Country 1]])</f>
        <v>India</v>
      </c>
      <c r="F111" s="3">
        <v>31293</v>
      </c>
      <c r="G111" s="10">
        <v>42113</v>
      </c>
      <c r="H111" s="8">
        <v>2</v>
      </c>
      <c r="I111" t="s">
        <v>181</v>
      </c>
      <c r="J111" t="s">
        <v>269</v>
      </c>
    </row>
    <row r="112" spans="1:10" x14ac:dyDescent="0.3">
      <c r="A112" t="s">
        <v>120</v>
      </c>
      <c r="B112" t="s">
        <v>164</v>
      </c>
      <c r="C112" t="s">
        <v>169</v>
      </c>
      <c r="D112" t="s">
        <v>173</v>
      </c>
      <c r="E112" t="str">
        <f>IF(Table13_1[[#This Row],[Country 1]]=" ","Unknown",Table13_1[[#This Row],[Country 1]])</f>
        <v>USA</v>
      </c>
      <c r="F112" s="3">
        <v>34306</v>
      </c>
      <c r="G112" s="10">
        <v>42785</v>
      </c>
      <c r="H112" s="8">
        <v>5</v>
      </c>
      <c r="I112" t="s">
        <v>181</v>
      </c>
      <c r="J112" t="s">
        <v>226</v>
      </c>
    </row>
    <row r="113" spans="1:10" x14ac:dyDescent="0.3">
      <c r="A113" t="s">
        <v>121</v>
      </c>
      <c r="B113" t="s">
        <v>159</v>
      </c>
      <c r="C113" t="s">
        <v>166</v>
      </c>
      <c r="D113" t="s">
        <v>174</v>
      </c>
      <c r="E113" t="str">
        <f>IF(Table13_1[[#This Row],[Country 1]]=" ","Unknown",Table13_1[[#This Row],[Country 1]])</f>
        <v>India</v>
      </c>
      <c r="F113" s="3">
        <v>78330</v>
      </c>
      <c r="G113" s="10">
        <v>42792</v>
      </c>
      <c r="H113" s="8">
        <v>2.879032258064516</v>
      </c>
      <c r="I113" t="s">
        <v>179</v>
      </c>
      <c r="J113" t="s">
        <v>242</v>
      </c>
    </row>
    <row r="114" spans="1:10" x14ac:dyDescent="0.3">
      <c r="A114" t="s">
        <v>122</v>
      </c>
      <c r="B114" t="s">
        <v>160</v>
      </c>
      <c r="C114" t="s">
        <v>169</v>
      </c>
      <c r="D114" t="s">
        <v>173</v>
      </c>
      <c r="E114" t="str">
        <f>IF(Table13_1[[#This Row],[Country 1]]=" ","Unknown",Table13_1[[#This Row],[Country 1]])</f>
        <v>USA</v>
      </c>
      <c r="F114" s="3">
        <v>47653</v>
      </c>
      <c r="G114" s="10">
        <v>42799</v>
      </c>
      <c r="H114" s="8">
        <v>1</v>
      </c>
      <c r="I114" t="s">
        <v>180</v>
      </c>
      <c r="J114" t="s">
        <v>227</v>
      </c>
    </row>
    <row r="115" spans="1:10" x14ac:dyDescent="0.3">
      <c r="A115" t="s">
        <v>123</v>
      </c>
      <c r="B115" t="s">
        <v>159</v>
      </c>
      <c r="C115" t="s">
        <v>170</v>
      </c>
      <c r="D115" t="s">
        <v>175</v>
      </c>
      <c r="E115" t="str">
        <f>IF(Table13_1[[#This Row],[Country 1]]=" ","Unknown",Table13_1[[#This Row],[Country 1]])</f>
        <v>UK</v>
      </c>
      <c r="F115" s="3">
        <v>44627</v>
      </c>
      <c r="G115" s="10">
        <v>42806</v>
      </c>
      <c r="H115" s="8">
        <v>4</v>
      </c>
      <c r="I115" t="s">
        <v>178</v>
      </c>
      <c r="J115" t="s">
        <v>247</v>
      </c>
    </row>
    <row r="116" spans="1:10" x14ac:dyDescent="0.3">
      <c r="A116" t="s">
        <v>124</v>
      </c>
      <c r="B116" t="s">
        <v>165</v>
      </c>
      <c r="C116" t="s">
        <v>167</v>
      </c>
      <c r="D116" t="s">
        <v>172</v>
      </c>
      <c r="E116" t="str">
        <f>IF(Table13_1[[#This Row],[Country 1]]=" ","Unknown",Table13_1[[#This Row],[Country 1]])</f>
        <v>Germany</v>
      </c>
      <c r="F116" s="3">
        <v>92343</v>
      </c>
      <c r="G116" s="10">
        <v>42813</v>
      </c>
      <c r="H116" s="8">
        <v>4</v>
      </c>
      <c r="I116" t="s">
        <v>181</v>
      </c>
      <c r="J116" t="s">
        <v>188</v>
      </c>
    </row>
    <row r="117" spans="1:10" x14ac:dyDescent="0.3">
      <c r="A117" t="s">
        <v>125</v>
      </c>
      <c r="B117" t="s">
        <v>165</v>
      </c>
      <c r="C117" t="s">
        <v>170</v>
      </c>
      <c r="D117" t="s">
        <v>176</v>
      </c>
      <c r="E117" t="str">
        <f>IF(Table13_1[[#This Row],[Country 1]]=" ","Unknown",Table13_1[[#This Row],[Country 1]])</f>
        <v>Australia</v>
      </c>
      <c r="F117" s="3">
        <v>38837</v>
      </c>
      <c r="G117" s="10">
        <v>42820</v>
      </c>
      <c r="H117" s="8">
        <v>5</v>
      </c>
      <c r="I117" t="s">
        <v>181</v>
      </c>
      <c r="J117" t="s">
        <v>235</v>
      </c>
    </row>
    <row r="118" spans="1:10" x14ac:dyDescent="0.3">
      <c r="A118" t="s">
        <v>126</v>
      </c>
      <c r="B118" t="s">
        <v>165</v>
      </c>
      <c r="C118" t="s">
        <v>170</v>
      </c>
      <c r="D118" t="s">
        <v>174</v>
      </c>
      <c r="E118" t="str">
        <f>IF(Table13_1[[#This Row],[Country 1]]=" ","Unknown",Table13_1[[#This Row],[Country 1]])</f>
        <v>India</v>
      </c>
      <c r="F118" s="3">
        <v>73483</v>
      </c>
      <c r="G118" s="10">
        <v>42827</v>
      </c>
      <c r="H118" s="8">
        <v>1</v>
      </c>
      <c r="I118" t="s">
        <v>179</v>
      </c>
      <c r="J118" t="s">
        <v>213</v>
      </c>
    </row>
    <row r="119" spans="1:10" x14ac:dyDescent="0.3">
      <c r="A119" t="s">
        <v>127</v>
      </c>
      <c r="B119" t="s">
        <v>164</v>
      </c>
      <c r="C119" t="s">
        <v>168</v>
      </c>
      <c r="D119" t="s">
        <v>174</v>
      </c>
      <c r="E119" t="str">
        <f>IF(Table13_1[[#This Row],[Country 1]]=" ","Unknown",Table13_1[[#This Row],[Country 1]])</f>
        <v>India</v>
      </c>
      <c r="F119" s="3">
        <v>95032</v>
      </c>
      <c r="G119" s="10">
        <v>42834</v>
      </c>
      <c r="H119" s="8">
        <v>3</v>
      </c>
      <c r="I119" t="s">
        <v>181</v>
      </c>
      <c r="J119" t="s">
        <v>270</v>
      </c>
    </row>
    <row r="120" spans="1:10" x14ac:dyDescent="0.3">
      <c r="A120" t="s">
        <v>128</v>
      </c>
      <c r="B120" t="s">
        <v>159</v>
      </c>
      <c r="C120" t="s">
        <v>168</v>
      </c>
      <c r="D120" t="s">
        <v>176</v>
      </c>
      <c r="E120" t="str">
        <f>IF(Table13_1[[#This Row],[Country 1]]=" ","Unknown",Table13_1[[#This Row],[Country 1]])</f>
        <v>Australia</v>
      </c>
      <c r="F120" s="3">
        <v>44358</v>
      </c>
      <c r="G120" s="10">
        <v>42841</v>
      </c>
      <c r="H120" s="8">
        <v>2.879032258064516</v>
      </c>
      <c r="I120" t="s">
        <v>181</v>
      </c>
      <c r="J120" t="s">
        <v>258</v>
      </c>
    </row>
    <row r="121" spans="1:10" x14ac:dyDescent="0.3">
      <c r="A121" t="s">
        <v>129</v>
      </c>
      <c r="B121" t="s">
        <v>178</v>
      </c>
      <c r="C121" t="s">
        <v>169</v>
      </c>
      <c r="D121" t="s">
        <v>173</v>
      </c>
      <c r="E121" t="str">
        <f>IF(Table13_1[[#This Row],[Country 1]]=" ","Unknown",Table13_1[[#This Row],[Country 1]])</f>
        <v>USA</v>
      </c>
      <c r="F121" s="3">
        <v>66157.5</v>
      </c>
      <c r="G121" s="10">
        <v>42113</v>
      </c>
      <c r="H121" s="8">
        <v>5</v>
      </c>
      <c r="I121" t="s">
        <v>178</v>
      </c>
      <c r="J121" t="s">
        <v>228</v>
      </c>
    </row>
    <row r="122" spans="1:10" x14ac:dyDescent="0.3">
      <c r="A122" t="s">
        <v>130</v>
      </c>
      <c r="B122" t="s">
        <v>164</v>
      </c>
      <c r="C122" t="s">
        <v>168</v>
      </c>
      <c r="D122" t="s">
        <v>173</v>
      </c>
      <c r="E122" t="str">
        <f>IF(Table13_1[[#This Row],[Country 1]]=" ","Unknown",Table13_1[[#This Row],[Country 1]])</f>
        <v>USA</v>
      </c>
      <c r="F122" s="3">
        <v>45676</v>
      </c>
      <c r="G122" s="10">
        <v>42855</v>
      </c>
      <c r="H122" s="8">
        <v>2</v>
      </c>
      <c r="I122" t="s">
        <v>181</v>
      </c>
      <c r="J122" t="s">
        <v>194</v>
      </c>
    </row>
    <row r="123" spans="1:10" x14ac:dyDescent="0.3">
      <c r="A123" t="s">
        <v>131</v>
      </c>
      <c r="B123" t="s">
        <v>165</v>
      </c>
      <c r="C123" t="s">
        <v>168</v>
      </c>
      <c r="D123" t="s">
        <v>172</v>
      </c>
      <c r="E123" t="str">
        <f>IF(Table13_1[[#This Row],[Country 1]]=" ","Unknown",Table13_1[[#This Row],[Country 1]])</f>
        <v>Germany</v>
      </c>
      <c r="F123" s="3">
        <v>52036</v>
      </c>
      <c r="G123" s="10">
        <v>42862</v>
      </c>
      <c r="H123" s="8">
        <v>3</v>
      </c>
      <c r="I123" t="s">
        <v>180</v>
      </c>
      <c r="J123" t="s">
        <v>199</v>
      </c>
    </row>
    <row r="124" spans="1:10" x14ac:dyDescent="0.3">
      <c r="A124" t="s">
        <v>132</v>
      </c>
      <c r="B124" t="s">
        <v>162</v>
      </c>
      <c r="C124" t="s">
        <v>167</v>
      </c>
      <c r="D124" t="s">
        <v>172</v>
      </c>
      <c r="E124" t="str">
        <f>IF(Table13_1[[#This Row],[Country 1]]=" ","Unknown",Table13_1[[#This Row],[Country 1]])</f>
        <v>Germany</v>
      </c>
      <c r="F124" s="3">
        <v>30357</v>
      </c>
      <c r="G124" s="10">
        <v>42869</v>
      </c>
      <c r="H124" s="8">
        <v>5</v>
      </c>
      <c r="I124" t="s">
        <v>180</v>
      </c>
      <c r="J124" t="s">
        <v>237</v>
      </c>
    </row>
    <row r="125" spans="1:10" x14ac:dyDescent="0.3">
      <c r="A125" t="s">
        <v>133</v>
      </c>
      <c r="B125" t="s">
        <v>161</v>
      </c>
      <c r="C125" t="s">
        <v>169</v>
      </c>
      <c r="D125" t="s">
        <v>171</v>
      </c>
      <c r="E125" t="str">
        <f>IF(Table13_1[[#This Row],[Country 1]]=" ","Unknown",Table13_1[[#This Row],[Country 1]])</f>
        <v>Unknown</v>
      </c>
      <c r="F125" s="3">
        <v>60034</v>
      </c>
      <c r="G125" s="10">
        <v>42876</v>
      </c>
      <c r="H125" s="8">
        <v>1</v>
      </c>
      <c r="I125" t="s">
        <v>181</v>
      </c>
      <c r="J125" t="s">
        <v>212</v>
      </c>
    </row>
    <row r="126" spans="1:10" x14ac:dyDescent="0.3">
      <c r="A126" t="s">
        <v>134</v>
      </c>
      <c r="B126" t="s">
        <v>161</v>
      </c>
      <c r="C126" t="s">
        <v>166</v>
      </c>
      <c r="D126" t="s">
        <v>171</v>
      </c>
      <c r="E126" t="str">
        <f>IF(Table13_1[[#This Row],[Country 1]]=" ","Unknown",Table13_1[[#This Row],[Country 1]])</f>
        <v>Unknown</v>
      </c>
      <c r="F126" s="3">
        <v>90019</v>
      </c>
      <c r="G126" s="10">
        <v>42883</v>
      </c>
      <c r="H126" s="8">
        <v>5</v>
      </c>
      <c r="I126" t="s">
        <v>179</v>
      </c>
      <c r="J126" t="s">
        <v>279</v>
      </c>
    </row>
    <row r="127" spans="1:10" x14ac:dyDescent="0.3">
      <c r="A127" t="s">
        <v>135</v>
      </c>
      <c r="B127" t="s">
        <v>165</v>
      </c>
      <c r="C127" t="s">
        <v>167</v>
      </c>
      <c r="D127" t="s">
        <v>172</v>
      </c>
      <c r="E127" t="str">
        <f>IF(Table13_1[[#This Row],[Country 1]]=" ","Unknown",Table13_1[[#This Row],[Country 1]])</f>
        <v>Germany</v>
      </c>
      <c r="F127" s="3">
        <v>71494</v>
      </c>
      <c r="G127" s="10">
        <v>42890</v>
      </c>
      <c r="H127" s="8">
        <v>3</v>
      </c>
      <c r="I127" t="s">
        <v>180</v>
      </c>
      <c r="J127" t="s">
        <v>238</v>
      </c>
    </row>
    <row r="128" spans="1:10" x14ac:dyDescent="0.3">
      <c r="A128" t="s">
        <v>136</v>
      </c>
      <c r="B128" t="s">
        <v>161</v>
      </c>
      <c r="C128" t="s">
        <v>166</v>
      </c>
      <c r="D128" t="s">
        <v>173</v>
      </c>
      <c r="E128" t="str">
        <f>IF(Table13_1[[#This Row],[Country 1]]=" ","Unknown",Table13_1[[#This Row],[Country 1]])</f>
        <v>USA</v>
      </c>
      <c r="F128" s="3">
        <v>91953</v>
      </c>
      <c r="G128" s="10">
        <v>42897</v>
      </c>
      <c r="H128" s="8">
        <v>2</v>
      </c>
      <c r="I128" t="s">
        <v>180</v>
      </c>
      <c r="J128" t="s">
        <v>273</v>
      </c>
    </row>
    <row r="129" spans="1:10" x14ac:dyDescent="0.3">
      <c r="A129" t="s">
        <v>137</v>
      </c>
      <c r="B129" t="s">
        <v>164</v>
      </c>
      <c r="C129" t="s">
        <v>168</v>
      </c>
      <c r="D129" t="s">
        <v>173</v>
      </c>
      <c r="E129" t="str">
        <f>IF(Table13_1[[#This Row],[Country 1]]=" ","Unknown",Table13_1[[#This Row],[Country 1]])</f>
        <v>USA</v>
      </c>
      <c r="F129" s="3">
        <v>30402</v>
      </c>
      <c r="G129" s="10">
        <v>42904</v>
      </c>
      <c r="H129" s="8">
        <v>1</v>
      </c>
      <c r="I129" t="s">
        <v>181</v>
      </c>
      <c r="J129" t="s">
        <v>195</v>
      </c>
    </row>
    <row r="130" spans="1:10" x14ac:dyDescent="0.3">
      <c r="A130" t="s">
        <v>138</v>
      </c>
      <c r="B130" t="s">
        <v>165</v>
      </c>
      <c r="C130" t="s">
        <v>168</v>
      </c>
      <c r="D130" t="s">
        <v>175</v>
      </c>
      <c r="E130" t="str">
        <f>IF(Table13_1[[#This Row],[Country 1]]=" ","Unknown",Table13_1[[#This Row],[Country 1]])</f>
        <v>UK</v>
      </c>
      <c r="F130" s="3">
        <v>62994</v>
      </c>
      <c r="G130" s="10">
        <v>42911</v>
      </c>
      <c r="H130" s="8">
        <v>2.879032258064516</v>
      </c>
      <c r="I130" t="s">
        <v>181</v>
      </c>
      <c r="J130" t="s">
        <v>178</v>
      </c>
    </row>
    <row r="131" spans="1:10" x14ac:dyDescent="0.3">
      <c r="A131" t="s">
        <v>139</v>
      </c>
      <c r="B131" t="s">
        <v>160</v>
      </c>
      <c r="C131" t="s">
        <v>168</v>
      </c>
      <c r="D131" t="s">
        <v>174</v>
      </c>
      <c r="E131" t="str">
        <f>IF(Table13_1[[#This Row],[Country 1]]=" ","Unknown",Table13_1[[#This Row],[Country 1]])</f>
        <v>India</v>
      </c>
      <c r="F131" s="3">
        <v>48289</v>
      </c>
      <c r="G131" s="10">
        <v>42113</v>
      </c>
      <c r="H131" s="8">
        <v>3</v>
      </c>
      <c r="I131" t="s">
        <v>180</v>
      </c>
      <c r="J131" t="s">
        <v>248</v>
      </c>
    </row>
    <row r="132" spans="1:10" x14ac:dyDescent="0.3">
      <c r="A132" t="s">
        <v>140</v>
      </c>
      <c r="B132" t="s">
        <v>163</v>
      </c>
      <c r="C132" t="s">
        <v>170</v>
      </c>
      <c r="D132" t="s">
        <v>172</v>
      </c>
      <c r="E132" t="str">
        <f>IF(Table13_1[[#This Row],[Country 1]]=" ","Unknown",Table13_1[[#This Row],[Country 1]])</f>
        <v>Germany</v>
      </c>
      <c r="F132" s="3">
        <v>34402</v>
      </c>
      <c r="G132" s="10">
        <v>42925</v>
      </c>
      <c r="H132" s="8">
        <v>3</v>
      </c>
      <c r="I132" t="s">
        <v>179</v>
      </c>
      <c r="J132" t="s">
        <v>274</v>
      </c>
    </row>
    <row r="133" spans="1:10" x14ac:dyDescent="0.3">
      <c r="A133" t="s">
        <v>141</v>
      </c>
      <c r="B133" t="s">
        <v>159</v>
      </c>
      <c r="C133" t="s">
        <v>167</v>
      </c>
      <c r="D133" t="s">
        <v>173</v>
      </c>
      <c r="E133" t="str">
        <f>IF(Table13_1[[#This Row],[Country 1]]=" ","Unknown",Table13_1[[#This Row],[Country 1]])</f>
        <v>USA</v>
      </c>
      <c r="F133" s="3">
        <v>38678</v>
      </c>
      <c r="G133" s="10">
        <v>42932</v>
      </c>
      <c r="H133" s="8">
        <v>3</v>
      </c>
      <c r="I133" t="s">
        <v>179</v>
      </c>
      <c r="J133" t="s">
        <v>241</v>
      </c>
    </row>
    <row r="134" spans="1:10" x14ac:dyDescent="0.3">
      <c r="A134" t="s">
        <v>142</v>
      </c>
      <c r="B134" t="s">
        <v>164</v>
      </c>
      <c r="C134" t="s">
        <v>167</v>
      </c>
      <c r="D134" t="s">
        <v>172</v>
      </c>
      <c r="E134" t="str">
        <f>IF(Table13_1[[#This Row],[Country 1]]=" ","Unknown",Table13_1[[#This Row],[Country 1]])</f>
        <v>Germany</v>
      </c>
      <c r="F134" s="3">
        <v>45758</v>
      </c>
      <c r="G134" s="10">
        <v>42939</v>
      </c>
      <c r="H134" s="8">
        <v>3</v>
      </c>
      <c r="I134" t="s">
        <v>181</v>
      </c>
      <c r="J134" t="s">
        <v>189</v>
      </c>
    </row>
    <row r="135" spans="1:10" x14ac:dyDescent="0.3">
      <c r="A135" t="s">
        <v>143</v>
      </c>
      <c r="B135" t="s">
        <v>159</v>
      </c>
      <c r="C135" t="s">
        <v>170</v>
      </c>
      <c r="D135" t="s">
        <v>174</v>
      </c>
      <c r="E135" t="str">
        <f>IF(Table13_1[[#This Row],[Country 1]]=" ","Unknown",Table13_1[[#This Row],[Country 1]])</f>
        <v>India</v>
      </c>
      <c r="F135" s="3">
        <v>62476</v>
      </c>
      <c r="G135" s="10">
        <v>42946</v>
      </c>
      <c r="H135" s="8">
        <v>1</v>
      </c>
      <c r="I135" t="s">
        <v>179</v>
      </c>
      <c r="J135" t="s">
        <v>227</v>
      </c>
    </row>
    <row r="136" spans="1:10" x14ac:dyDescent="0.3">
      <c r="A136" t="s">
        <v>144</v>
      </c>
      <c r="B136" t="s">
        <v>178</v>
      </c>
      <c r="C136" t="s">
        <v>169</v>
      </c>
      <c r="D136" t="s">
        <v>175</v>
      </c>
      <c r="E136" t="str">
        <f>IF(Table13_1[[#This Row],[Country 1]]=" ","Unknown",Table13_1[[#This Row],[Country 1]])</f>
        <v>UK</v>
      </c>
      <c r="F136" s="3">
        <v>39280</v>
      </c>
      <c r="G136" s="10">
        <v>42953</v>
      </c>
      <c r="H136" s="8">
        <v>3</v>
      </c>
      <c r="I136" t="s">
        <v>181</v>
      </c>
      <c r="J136" t="s">
        <v>216</v>
      </c>
    </row>
    <row r="137" spans="1:10" x14ac:dyDescent="0.3">
      <c r="A137" t="s">
        <v>145</v>
      </c>
      <c r="B137" t="s">
        <v>162</v>
      </c>
      <c r="C137" t="s">
        <v>166</v>
      </c>
      <c r="D137" t="s">
        <v>174</v>
      </c>
      <c r="E137" t="str">
        <f>IF(Table13_1[[#This Row],[Country 1]]=" ","Unknown",Table13_1[[#This Row],[Country 1]])</f>
        <v>India</v>
      </c>
      <c r="F137" s="3">
        <v>60335</v>
      </c>
      <c r="G137" s="10">
        <v>42960</v>
      </c>
      <c r="H137" s="8">
        <v>4</v>
      </c>
      <c r="I137" t="s">
        <v>179</v>
      </c>
      <c r="J137" t="s">
        <v>223</v>
      </c>
    </row>
    <row r="138" spans="1:10" x14ac:dyDescent="0.3">
      <c r="A138" t="s">
        <v>146</v>
      </c>
      <c r="B138" t="s">
        <v>164</v>
      </c>
      <c r="C138" t="s">
        <v>167</v>
      </c>
      <c r="D138" t="s">
        <v>172</v>
      </c>
      <c r="E138" t="str">
        <f>IF(Table13_1[[#This Row],[Country 1]]=" ","Unknown",Table13_1[[#This Row],[Country 1]])</f>
        <v>Germany</v>
      </c>
      <c r="F138" s="3">
        <v>84968</v>
      </c>
      <c r="G138" s="10">
        <v>42967</v>
      </c>
      <c r="H138" s="8">
        <v>2.879032258064516</v>
      </c>
      <c r="I138" t="s">
        <v>181</v>
      </c>
      <c r="J138" t="s">
        <v>190</v>
      </c>
    </row>
    <row r="139" spans="1:10" x14ac:dyDescent="0.3">
      <c r="A139" t="s">
        <v>147</v>
      </c>
      <c r="B139" t="s">
        <v>164</v>
      </c>
      <c r="C139" t="s">
        <v>170</v>
      </c>
      <c r="D139" t="s">
        <v>176</v>
      </c>
      <c r="E139" t="str">
        <f>IF(Table13_1[[#This Row],[Country 1]]=" ","Unknown",Table13_1[[#This Row],[Country 1]])</f>
        <v>Australia</v>
      </c>
      <c r="F139" s="3">
        <v>84750</v>
      </c>
      <c r="G139" s="10">
        <v>42974</v>
      </c>
      <c r="H139" s="8">
        <v>4</v>
      </c>
      <c r="I139" t="s">
        <v>181</v>
      </c>
      <c r="J139" t="s">
        <v>203</v>
      </c>
    </row>
    <row r="140" spans="1:10" x14ac:dyDescent="0.3">
      <c r="A140" t="s">
        <v>148</v>
      </c>
      <c r="B140" t="s">
        <v>165</v>
      </c>
      <c r="C140" t="s">
        <v>169</v>
      </c>
      <c r="D140" t="s">
        <v>171</v>
      </c>
      <c r="E140" t="str">
        <f>IF(Table13_1[[#This Row],[Country 1]]=" ","Unknown",Table13_1[[#This Row],[Country 1]])</f>
        <v>Unknown</v>
      </c>
      <c r="F140" s="3">
        <v>73348</v>
      </c>
      <c r="G140" s="10">
        <v>42981</v>
      </c>
      <c r="H140" s="8">
        <v>2</v>
      </c>
      <c r="I140" t="s">
        <v>181</v>
      </c>
      <c r="J140" t="s">
        <v>277</v>
      </c>
    </row>
    <row r="141" spans="1:10" x14ac:dyDescent="0.3">
      <c r="A141" t="s">
        <v>149</v>
      </c>
      <c r="B141" t="s">
        <v>164</v>
      </c>
      <c r="C141" t="s">
        <v>168</v>
      </c>
      <c r="D141" t="s">
        <v>173</v>
      </c>
      <c r="E141" t="str">
        <f>IF(Table13_1[[#This Row],[Country 1]]=" ","Unknown",Table13_1[[#This Row],[Country 1]])</f>
        <v>USA</v>
      </c>
      <c r="F141" s="3">
        <v>67929.08</v>
      </c>
      <c r="G141" s="10">
        <v>42988</v>
      </c>
      <c r="H141" s="8">
        <v>4</v>
      </c>
      <c r="I141" t="s">
        <v>179</v>
      </c>
      <c r="J141" t="s">
        <v>196</v>
      </c>
    </row>
    <row r="142" spans="1:10" x14ac:dyDescent="0.3">
      <c r="A142" t="s">
        <v>150</v>
      </c>
      <c r="B142" t="s">
        <v>162</v>
      </c>
      <c r="C142" t="s">
        <v>170</v>
      </c>
      <c r="D142" t="s">
        <v>173</v>
      </c>
      <c r="E142" t="str">
        <f>IF(Table13_1[[#This Row],[Country 1]]=" ","Unknown",Table13_1[[#This Row],[Country 1]])</f>
        <v>USA</v>
      </c>
      <c r="F142" s="3">
        <v>66882</v>
      </c>
      <c r="G142" s="10">
        <v>42995</v>
      </c>
      <c r="H142" s="8">
        <v>5</v>
      </c>
      <c r="I142" t="s">
        <v>179</v>
      </c>
      <c r="J142" t="s">
        <v>218</v>
      </c>
    </row>
    <row r="143" spans="1:10" x14ac:dyDescent="0.3">
      <c r="A143" t="s">
        <v>151</v>
      </c>
      <c r="B143" t="s">
        <v>160</v>
      </c>
      <c r="C143" t="s">
        <v>170</v>
      </c>
      <c r="D143" t="s">
        <v>174</v>
      </c>
      <c r="E143" t="str">
        <f>IF(Table13_1[[#This Row],[Country 1]]=" ","Unknown",Table13_1[[#This Row],[Country 1]])</f>
        <v>India</v>
      </c>
      <c r="F143" s="3">
        <v>86775</v>
      </c>
      <c r="G143" s="10">
        <v>43002</v>
      </c>
      <c r="H143" s="8">
        <v>3</v>
      </c>
      <c r="I143" t="s">
        <v>179</v>
      </c>
      <c r="J143" t="s">
        <v>214</v>
      </c>
    </row>
    <row r="144" spans="1:10" x14ac:dyDescent="0.3">
      <c r="A144" t="s">
        <v>152</v>
      </c>
      <c r="B144" t="s">
        <v>164</v>
      </c>
      <c r="C144" t="s">
        <v>168</v>
      </c>
      <c r="D144" t="s">
        <v>175</v>
      </c>
      <c r="E144" t="str">
        <f>IF(Table13_1[[#This Row],[Country 1]]=" ","Unknown",Table13_1[[#This Row],[Country 1]])</f>
        <v>UK</v>
      </c>
      <c r="F144" s="3">
        <v>91620</v>
      </c>
      <c r="G144" s="10">
        <v>43009</v>
      </c>
      <c r="H144" s="8">
        <v>2.879032258064516</v>
      </c>
      <c r="I144" t="s">
        <v>179</v>
      </c>
      <c r="J144" t="s">
        <v>233</v>
      </c>
    </row>
    <row r="145" spans="1:10" x14ac:dyDescent="0.3">
      <c r="A145" t="s">
        <v>153</v>
      </c>
      <c r="B145" t="s">
        <v>159</v>
      </c>
      <c r="C145" t="s">
        <v>168</v>
      </c>
      <c r="D145" t="s">
        <v>175</v>
      </c>
      <c r="E145" t="str">
        <f>IF(Table13_1[[#This Row],[Country 1]]=" ","Unknown",Table13_1[[#This Row],[Country 1]])</f>
        <v>UK</v>
      </c>
      <c r="F145" s="3">
        <v>94148</v>
      </c>
      <c r="G145" s="10">
        <v>43016</v>
      </c>
      <c r="H145" s="8">
        <v>2</v>
      </c>
      <c r="I145" t="s">
        <v>179</v>
      </c>
      <c r="J145" t="s">
        <v>280</v>
      </c>
    </row>
    <row r="146" spans="1:10" x14ac:dyDescent="0.3">
      <c r="A146" t="s">
        <v>154</v>
      </c>
      <c r="B146" t="s">
        <v>163</v>
      </c>
      <c r="C146" t="s">
        <v>168</v>
      </c>
      <c r="D146" t="s">
        <v>176</v>
      </c>
      <c r="E146" t="str">
        <f>IF(Table13_1[[#This Row],[Country 1]]=" ","Unknown",Table13_1[[#This Row],[Country 1]])</f>
        <v>Australia</v>
      </c>
      <c r="F146" s="3">
        <v>35627</v>
      </c>
      <c r="G146" s="10">
        <v>43023</v>
      </c>
      <c r="H146" s="8">
        <v>5</v>
      </c>
      <c r="I146" t="s">
        <v>181</v>
      </c>
      <c r="J146" t="s">
        <v>259</v>
      </c>
    </row>
    <row r="147" spans="1:10" x14ac:dyDescent="0.3">
      <c r="A147" t="s">
        <v>155</v>
      </c>
      <c r="B147" t="s">
        <v>161</v>
      </c>
      <c r="C147" t="s">
        <v>170</v>
      </c>
      <c r="D147" t="s">
        <v>173</v>
      </c>
      <c r="E147" t="str">
        <f>IF(Table13_1[[#This Row],[Country 1]]=" ","Unknown",Table13_1[[#This Row],[Country 1]])</f>
        <v>USA</v>
      </c>
      <c r="F147" s="3">
        <v>57141</v>
      </c>
      <c r="G147" s="10">
        <v>43030</v>
      </c>
      <c r="H147" s="8">
        <v>2</v>
      </c>
      <c r="I147" t="s">
        <v>179</v>
      </c>
      <c r="J147" t="s">
        <v>275</v>
      </c>
    </row>
    <row r="148" spans="1:10" x14ac:dyDescent="0.3">
      <c r="A148" t="s">
        <v>156</v>
      </c>
      <c r="B148" t="s">
        <v>165</v>
      </c>
      <c r="C148" t="s">
        <v>168</v>
      </c>
      <c r="D148" t="s">
        <v>176</v>
      </c>
      <c r="E148" t="str">
        <f>IF(Table13_1[[#This Row],[Country 1]]=" ","Unknown",Table13_1[[#This Row],[Country 1]])</f>
        <v>Australia</v>
      </c>
      <c r="F148" s="3">
        <v>65270</v>
      </c>
      <c r="G148" s="10">
        <v>43037</v>
      </c>
      <c r="H148" s="8">
        <v>1</v>
      </c>
      <c r="I148" t="s">
        <v>181</v>
      </c>
      <c r="J148" t="s">
        <v>200</v>
      </c>
    </row>
    <row r="149" spans="1:10" x14ac:dyDescent="0.3">
      <c r="A149" t="s">
        <v>157</v>
      </c>
      <c r="B149" t="s">
        <v>165</v>
      </c>
      <c r="C149" t="s">
        <v>168</v>
      </c>
      <c r="D149" t="s">
        <v>175</v>
      </c>
      <c r="E149" t="str">
        <f>IF(Table13_1[[#This Row],[Country 1]]=" ","Unknown",Table13_1[[#This Row],[Country 1]])</f>
        <v>UK</v>
      </c>
      <c r="F149" s="3">
        <v>67335</v>
      </c>
      <c r="G149" s="10">
        <v>43044</v>
      </c>
      <c r="H149" s="8">
        <v>1</v>
      </c>
      <c r="I149" t="s">
        <v>179</v>
      </c>
      <c r="J149" t="s">
        <v>261</v>
      </c>
    </row>
    <row r="150" spans="1:10" x14ac:dyDescent="0.3">
      <c r="A150" t="s">
        <v>158</v>
      </c>
      <c r="B150" t="s">
        <v>163</v>
      </c>
      <c r="C150" t="s">
        <v>170</v>
      </c>
      <c r="D150" t="s">
        <v>174</v>
      </c>
      <c r="E150" t="str">
        <f>IF(Table13_1[[#This Row],[Country 1]]=" ","Unknown",Table13_1[[#This Row],[Country 1]])</f>
        <v>India</v>
      </c>
      <c r="F150" s="3">
        <v>98475</v>
      </c>
      <c r="G150" s="10">
        <v>43051</v>
      </c>
      <c r="H150" s="8">
        <v>5</v>
      </c>
      <c r="I150" t="s">
        <v>179</v>
      </c>
      <c r="J150" t="s">
        <v>276</v>
      </c>
    </row>
  </sheetData>
  <dataConsolidate/>
  <mergeCells count="1">
    <mergeCell ref="L1:M1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2026-01-29T10:07:06Z</dcterms:modified>
</cp:coreProperties>
</file>